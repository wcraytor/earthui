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der_1\B\A\PVN2023\KVE23_04_Pacifica_BrookhavenCt_12\Excel\"/>
    </mc:Choice>
  </mc:AlternateContent>
  <xr:revisionPtr revIDLastSave="0" documentId="13_ncr:1_{9F9D716D-52E1-440D-9E5E-3575FD04676C}" xr6:coauthVersionLast="47" xr6:coauthVersionMax="47" xr10:uidLastSave="{00000000-0000-0000-0000-000000000000}"/>
  <bookViews>
    <workbookView xWindow="30" yWindow="1480" windowWidth="20580" windowHeight="17810" xr2:uid="{9C8E64B5-9771-4676-9649-340786805C6B}"/>
  </bookViews>
  <sheets>
    <sheet name="Comps 1-4" sheetId="1" r:id="rId1"/>
    <sheet name="Comps 5-8" sheetId="3" r:id="rId2"/>
    <sheet name="Comps 9-12" sheetId="4" r:id="rId3"/>
  </sheets>
  <definedNames>
    <definedName name="SubAddr">'Comps 1-4'!$B$3</definedName>
    <definedName name="SubFunc">'Comps 1-4'!$B$29</definedName>
    <definedName name="SubjAge">'Comps 1-4'!$B$10</definedName>
    <definedName name="SubjBath">'Comps 1-4'!#REF!</definedName>
    <definedName name="SubjBed">'Comps 1-4'!#REF!</definedName>
    <definedName name="SubjCond">'Comps 1-4'!$B$11</definedName>
    <definedName name="SubjEffAge">'Comps 1-4'!#REF!</definedName>
    <definedName name="SubjGar">'Comps 1-4'!$B$17</definedName>
    <definedName name="SubjGLA">'Comps 1-4'!#REF!</definedName>
    <definedName name="SubjHeatAC">'Comps 1-4'!$B$30</definedName>
    <definedName name="SubjLoc">'Comps 1-4'!$B$8</definedName>
    <definedName name="SubjMLS">'Comps 1-4'!$B$4</definedName>
    <definedName name="SubjOther">'Comps 1-4'!$B$32</definedName>
    <definedName name="SubjPorch">'Comps 1-4'!$B$31</definedName>
    <definedName name="SubjPricePer">'Comps 1-4'!#REF!</definedName>
    <definedName name="SubjProx">'Comps 1-4'!#REF!</definedName>
    <definedName name="SubjQual">'Comps 1-4'!$B$27</definedName>
    <definedName name="SubjSaleDate">'Comps 1-4'!$B$7</definedName>
    <definedName name="SubjSaleP">'Comps 1-4'!#REF!</definedName>
    <definedName name="SubjSalesConc">'Comps 1-4'!#REF!</definedName>
    <definedName name="SubjView">'Comps 1-4'!$B$25</definedName>
    <definedName name="SubLotSz">'Comps 1-4'!$B$9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K9" i="1"/>
  <c r="S28" i="1"/>
  <c r="S27" i="1"/>
  <c r="S13" i="1"/>
  <c r="S12" i="1"/>
  <c r="S11" i="1"/>
  <c r="N28" i="1"/>
  <c r="N27" i="1"/>
  <c r="N13" i="1"/>
  <c r="N12" i="1"/>
  <c r="N11" i="1"/>
  <c r="I13" i="1"/>
  <c r="I12" i="1"/>
  <c r="I28" i="1"/>
  <c r="P16" i="3"/>
  <c r="P14" i="3"/>
  <c r="L14" i="3"/>
  <c r="L17" i="3"/>
  <c r="S38" i="1" l="1"/>
  <c r="S41" i="1" s="1"/>
  <c r="N38" i="1"/>
  <c r="N41" i="1" s="1"/>
  <c r="I27" i="1"/>
  <c r="I11" i="1"/>
  <c r="I38" i="1" l="1"/>
  <c r="I41" i="1" s="1"/>
  <c r="U27" i="4"/>
  <c r="U28" i="4" s="1"/>
  <c r="Q27" i="4"/>
  <c r="Q28" i="4" s="1"/>
  <c r="M27" i="4"/>
  <c r="M28" i="4" s="1"/>
  <c r="I27" i="4"/>
  <c r="I28" i="4" s="1"/>
  <c r="C26" i="4"/>
  <c r="C25" i="4"/>
  <c r="C24" i="4"/>
  <c r="C23" i="4"/>
  <c r="C22" i="4"/>
  <c r="C21" i="4"/>
  <c r="E20" i="4"/>
  <c r="D20" i="4"/>
  <c r="C18" i="4"/>
  <c r="C17" i="4"/>
  <c r="C16" i="4"/>
  <c r="C15" i="4"/>
  <c r="C14" i="4"/>
  <c r="C13" i="4"/>
  <c r="C12" i="4"/>
  <c r="C10" i="4"/>
  <c r="C9" i="4"/>
  <c r="C8" i="4"/>
  <c r="C7" i="4"/>
  <c r="C6" i="4"/>
  <c r="C5" i="4"/>
  <c r="C4" i="4"/>
  <c r="B25" i="3"/>
  <c r="B24" i="3"/>
  <c r="B23" i="3"/>
  <c r="B22" i="3"/>
  <c r="B21" i="3"/>
  <c r="B20" i="3"/>
  <c r="C19" i="3"/>
  <c r="D19" i="3"/>
  <c r="B17" i="3"/>
  <c r="B16" i="3"/>
  <c r="B15" i="3"/>
  <c r="B14" i="3"/>
  <c r="B12" i="3"/>
  <c r="B11" i="3"/>
  <c r="B9" i="3"/>
  <c r="B8" i="3"/>
  <c r="B7" i="3"/>
  <c r="B6" i="3"/>
  <c r="B5" i="3"/>
  <c r="B4" i="3"/>
  <c r="B3" i="3"/>
  <c r="T26" i="3"/>
  <c r="T27" i="3" s="1"/>
  <c r="P26" i="3"/>
  <c r="P27" i="3" s="1"/>
  <c r="L26" i="3"/>
  <c r="L27" i="3" s="1"/>
  <c r="H26" i="3"/>
  <c r="H27" i="3" s="1"/>
</calcChain>
</file>

<file path=xl/sharedStrings.xml><?xml version="1.0" encoding="utf-8"?>
<sst xmlns="http://schemas.openxmlformats.org/spreadsheetml/2006/main" count="293" uniqueCount="115">
  <si>
    <t>Prox. To subj.</t>
  </si>
  <si>
    <t>Sales Price</t>
  </si>
  <si>
    <t>Price/Liv Area</t>
  </si>
  <si>
    <t>Sale Concessions</t>
  </si>
  <si>
    <t>Date of Sale</t>
  </si>
  <si>
    <t>Time Adj.</t>
  </si>
  <si>
    <t>Location</t>
  </si>
  <si>
    <t>Site Size</t>
  </si>
  <si>
    <t>Quality Const.</t>
  </si>
  <si>
    <t>Actual Age</t>
  </si>
  <si>
    <t>Effective Age</t>
  </si>
  <si>
    <t>Condition</t>
  </si>
  <si>
    <t>Room Count
Total GLA</t>
  </si>
  <si>
    <t>Total</t>
  </si>
  <si>
    <t>BR</t>
  </si>
  <si>
    <t>Bths</t>
  </si>
  <si>
    <t>Functional
Utility</t>
  </si>
  <si>
    <t>Central H/A</t>
  </si>
  <si>
    <t>Car Storage</t>
  </si>
  <si>
    <t>2 garage att</t>
  </si>
  <si>
    <t>3 garage att</t>
  </si>
  <si>
    <t>Porch/Patio</t>
  </si>
  <si>
    <t>Screen Porch</t>
  </si>
  <si>
    <t>Enc porch</t>
  </si>
  <si>
    <t>Patio</t>
  </si>
  <si>
    <t>Screen porch</t>
  </si>
  <si>
    <t>Other</t>
  </si>
  <si>
    <t>None</t>
  </si>
  <si>
    <t>In-ground Pool</t>
  </si>
  <si>
    <t>Tennis Court</t>
  </si>
  <si>
    <t>Net Adjustment</t>
  </si>
  <si>
    <t>Indicated Value
of subject</t>
  </si>
  <si>
    <t>View</t>
  </si>
  <si>
    <t>Subject</t>
  </si>
  <si>
    <t>Address</t>
  </si>
  <si>
    <t>Comparable Sale No. 1</t>
  </si>
  <si>
    <t>Comparable Sale No. 2</t>
  </si>
  <si>
    <t>Comparable Sale No. 3</t>
  </si>
  <si>
    <t>Comparable Sale No. 4</t>
  </si>
  <si>
    <t>FEATURE</t>
  </si>
  <si>
    <t>Sales Comparable Grid 1-4</t>
  </si>
  <si>
    <t>Sales Comparable Grid 5-8</t>
  </si>
  <si>
    <t xml:space="preserve"> </t>
  </si>
  <si>
    <t>N/A</t>
  </si>
  <si>
    <t>Heating &amp; A/C</t>
  </si>
  <si>
    <t>363 San Juan Ave</t>
  </si>
  <si>
    <t>047-133-160</t>
  </si>
  <si>
    <t>APN, MLS#</t>
  </si>
  <si>
    <t>047-136-440, ML81648205</t>
  </si>
  <si>
    <t>Sales Comparable Grid 9-12</t>
  </si>
  <si>
    <t>620-Lower EG</t>
  </si>
  <si>
    <t>No ocean</t>
  </si>
  <si>
    <t>3.0/10.0</t>
  </si>
  <si>
    <t>Average</t>
  </si>
  <si>
    <t>Functional Utility</t>
  </si>
  <si>
    <t>Central F/A</t>
  </si>
  <si>
    <t>Solar</t>
  </si>
  <si>
    <t>621-Highlands</t>
  </si>
  <si>
    <t>2 car garage att</t>
  </si>
  <si>
    <t>Elec Wall Furnace</t>
  </si>
  <si>
    <t>HOA</t>
  </si>
  <si>
    <t xml:space="preserve">No </t>
  </si>
  <si>
    <t>1.0/10.0</t>
  </si>
  <si>
    <t>130 El Granada</t>
  </si>
  <si>
    <t>047-171-250, ML81632693</t>
  </si>
  <si>
    <t>Ocean</t>
  </si>
  <si>
    <t>4.5/10.0</t>
  </si>
  <si>
    <t>270 Francisco St</t>
  </si>
  <si>
    <t xml:space="preserve"> 047-126-310, ML81683917</t>
  </si>
  <si>
    <t>530 Valencia</t>
  </si>
  <si>
    <t>047-103-190, ML81679861</t>
  </si>
  <si>
    <t>4.0/10.0</t>
  </si>
  <si>
    <t>Electric</t>
  </si>
  <si>
    <t>Comparable Sale No. 5</t>
  </si>
  <si>
    <t>Comparable Sale No. 6</t>
  </si>
  <si>
    <t>Comparable Sale No. 7</t>
  </si>
  <si>
    <t>Comparable Sale No. 8</t>
  </si>
  <si>
    <t>8/10.0</t>
  </si>
  <si>
    <t>9/10.0</t>
  </si>
  <si>
    <t>No Ocean</t>
  </si>
  <si>
    <t>Beds</t>
  </si>
  <si>
    <t>Baths</t>
  </si>
  <si>
    <t>Value Contrib.</t>
  </si>
  <si>
    <t>Factual Value</t>
  </si>
  <si>
    <t>Adjustment</t>
  </si>
  <si>
    <t>Garage Area</t>
  </si>
  <si>
    <t>Legal Living Area Above Gnd</t>
  </si>
  <si>
    <t>Legal Living Area Below Gnd</t>
  </si>
  <si>
    <t>Non-legal Living Area</t>
  </si>
  <si>
    <t>CQA/Description</t>
  </si>
  <si>
    <t>ML8162124</t>
  </si>
  <si>
    <t>047-049-090</t>
  </si>
  <si>
    <t>1.3 miles</t>
  </si>
  <si>
    <t>Sales Price| Concess.| Net SP</t>
  </si>
  <si>
    <t>APN | MLS# | Subj.Proximity</t>
  </si>
  <si>
    <t>Street, City, State Zip</t>
  </si>
  <si>
    <t>839 Ferdinand Ave, Pacifica, CA 94044</t>
  </si>
  <si>
    <t>Date of Sale | OffMkt | OnMkt</t>
  </si>
  <si>
    <t>Location:  Longitude | Latitude</t>
  </si>
  <si>
    <t>Site Size | Dimensions</t>
  </si>
  <si>
    <t>60.100.50.100</t>
  </si>
  <si>
    <t>888,888 sf</t>
  </si>
  <si>
    <t>Secondary/ADU</t>
  </si>
  <si>
    <t>Actual Age | Effective Age</t>
  </si>
  <si>
    <t>Copyright 2022-3, Pacific Vista Net ©</t>
  </si>
  <si>
    <t>Gross Adjust %</t>
  </si>
  <si>
    <t>Net Adjustment %</t>
  </si>
  <si>
    <t>Regression Features</t>
  </si>
  <si>
    <t>Residual Features</t>
  </si>
  <si>
    <t>CQA | Residual | Remaining</t>
  </si>
  <si>
    <t>1,500,.000</t>
  </si>
  <si>
    <t>Fireplaces</t>
  </si>
  <si>
    <t>Design</t>
  </si>
  <si>
    <t>Quality of Construction</t>
  </si>
  <si>
    <t>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</si>
</sst>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"/>
  </numFmts>
  <fonts count="14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0"/>
      <color theme="0" tint="-4.9989318521683403E-2"/>
      <name val="Arial Narrow"/>
      <family val="2"/>
    </font>
    <font>
      <b/>
      <sz val="10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3366"/>
      </bottom>
      <diagonal/>
    </border>
    <border>
      <left style="thin">
        <color rgb="FF000000"/>
      </left>
      <right/>
      <top style="thin">
        <color rgb="FF000000"/>
      </top>
      <bottom style="thin">
        <color rgb="FF003366"/>
      </bottom>
      <diagonal/>
    </border>
    <border>
      <left/>
      <right style="thin">
        <color rgb="FF000000"/>
      </right>
      <top style="thin">
        <color rgb="FF000000"/>
      </top>
      <bottom style="thin">
        <color rgb="FF003366"/>
      </bottom>
      <diagonal/>
    </border>
    <border>
      <left/>
      <right/>
      <top style="thin">
        <color rgb="FF000000"/>
      </top>
      <bottom style="thin">
        <color rgb="FF003366"/>
      </bottom>
      <diagonal/>
    </border>
    <border>
      <left style="thin">
        <color rgb="FF000000"/>
      </left>
      <right style="thin">
        <color rgb="FF000000"/>
      </right>
      <top style="thin">
        <color rgb="FF003366"/>
      </top>
      <bottom style="thin">
        <color rgb="FF000000"/>
      </bottom>
      <diagonal/>
    </border>
    <border>
      <left style="thin">
        <color rgb="FF000000"/>
      </left>
      <right/>
      <top style="thin">
        <color rgb="FF003366"/>
      </top>
      <bottom style="thin">
        <color rgb="FF000000"/>
      </bottom>
      <diagonal/>
    </border>
    <border>
      <left/>
      <right style="thin">
        <color rgb="FF000000"/>
      </right>
      <top style="thin">
        <color rgb="FF003366"/>
      </top>
      <bottom style="thin">
        <color rgb="FF000000"/>
      </bottom>
      <diagonal/>
    </border>
    <border>
      <left/>
      <right/>
      <top style="thin">
        <color rgb="FF003366"/>
      </top>
      <bottom style="thin">
        <color rgb="FF000000"/>
      </bottom>
      <diagonal/>
    </border>
    <border>
      <left style="thin">
        <color rgb="FF000000"/>
      </left>
      <right/>
      <top style="thin">
        <color rgb="FF003366"/>
      </top>
      <bottom style="thin">
        <color rgb="FF003366"/>
      </bottom>
      <diagonal/>
    </border>
    <border>
      <left/>
      <right style="thin">
        <color rgb="FF000000"/>
      </right>
      <top style="thin">
        <color rgb="FF003366"/>
      </top>
      <bottom style="thin">
        <color rgb="FF003366"/>
      </bottom>
      <diagonal/>
    </border>
    <border>
      <left/>
      <right/>
      <top style="thin">
        <color rgb="FF003366"/>
      </top>
      <bottom style="thin">
        <color rgb="FF0033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auto="1"/>
      </left>
      <right/>
      <top style="thick">
        <color auto="1"/>
      </top>
      <bottom style="double">
        <color rgb="FF000000"/>
      </bottom>
      <diagonal/>
    </border>
    <border>
      <left/>
      <right/>
      <top style="thick">
        <color auto="1"/>
      </top>
      <bottom style="double">
        <color rgb="FF000000"/>
      </bottom>
      <diagonal/>
    </border>
    <border>
      <left/>
      <right style="thick">
        <color auto="1"/>
      </right>
      <top style="thick">
        <color auto="1"/>
      </top>
      <bottom style="double">
        <color rgb="FF000000"/>
      </bottom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auto="1"/>
      </right>
      <top style="double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ck">
        <color auto="1"/>
      </bottom>
      <diagonal/>
    </border>
    <border>
      <left/>
      <right/>
      <top style="thin">
        <color rgb="FF000000"/>
      </top>
      <bottom style="thick">
        <color auto="1"/>
      </bottom>
      <diagonal/>
    </border>
    <border>
      <left/>
      <right style="thick">
        <color auto="1"/>
      </right>
      <top style="thin">
        <color rgb="FF000000"/>
      </top>
      <bottom style="thick">
        <color auto="1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/>
      <top style="thick">
        <color auto="1"/>
      </top>
      <bottom style="thin">
        <color rgb="FF000000"/>
      </bottom>
      <diagonal/>
    </border>
    <border>
      <left/>
      <right/>
      <top style="thick">
        <color auto="1"/>
      </top>
      <bottom style="thin">
        <color rgb="FF000000"/>
      </bottom>
      <diagonal/>
    </border>
    <border>
      <left/>
      <right style="thick">
        <color auto="1"/>
      </right>
      <top style="thick">
        <color auto="1"/>
      </top>
      <bottom style="thin">
        <color rgb="FF000000"/>
      </bottom>
      <diagonal/>
    </border>
    <border>
      <left style="thick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ck">
        <color auto="1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2" fillId="0" borderId="9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9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165" fontId="7" fillId="4" borderId="0" xfId="0" applyNumberFormat="1" applyFont="1" applyFill="1"/>
    <xf numFmtId="165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9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165" fontId="7" fillId="4" borderId="0" xfId="0" applyNumberFormat="1" applyFont="1" applyFill="1" applyAlignment="1">
      <alignment vertical="center"/>
    </xf>
    <xf numFmtId="0" fontId="1" fillId="3" borderId="9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shrinkToFit="1"/>
    </xf>
    <xf numFmtId="164" fontId="3" fillId="0" borderId="1" xfId="0" applyNumberFormat="1" applyFont="1" applyBorder="1" applyAlignment="1">
      <alignment horizontal="left" vertical="center" shrinkToFit="1"/>
    </xf>
    <xf numFmtId="0" fontId="1" fillId="3" borderId="19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vertical="center" wrapText="1"/>
    </xf>
    <xf numFmtId="0" fontId="1" fillId="3" borderId="31" xfId="0" applyFont="1" applyFill="1" applyBorder="1" applyAlignment="1">
      <alignment vertical="center"/>
    </xf>
    <xf numFmtId="0" fontId="1" fillId="5" borderId="33" xfId="0" applyFont="1" applyFill="1" applyBorder="1" applyAlignment="1">
      <alignment vertical="center" wrapText="1"/>
    </xf>
    <xf numFmtId="0" fontId="10" fillId="5" borderId="34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vertical="center" wrapText="1"/>
    </xf>
    <xf numFmtId="0" fontId="1" fillId="3" borderId="33" xfId="0" applyFont="1" applyFill="1" applyBorder="1" applyAlignment="1">
      <alignment vertical="center"/>
    </xf>
    <xf numFmtId="0" fontId="3" fillId="0" borderId="34" xfId="0" applyFont="1" applyBorder="1" applyAlignment="1">
      <alignment vertical="center" wrapText="1"/>
    </xf>
    <xf numFmtId="0" fontId="1" fillId="3" borderId="35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13" fillId="9" borderId="44" xfId="0" applyFont="1" applyFill="1" applyBorder="1" applyAlignment="1">
      <alignment vertical="center"/>
    </xf>
    <xf numFmtId="0" fontId="1" fillId="3" borderId="45" xfId="0" applyFont="1" applyFill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1" fillId="3" borderId="47" xfId="0" applyFont="1" applyFill="1" applyBorder="1" applyAlignment="1">
      <alignment vertical="center" wrapText="1"/>
    </xf>
    <xf numFmtId="0" fontId="1" fillId="3" borderId="43" xfId="0" applyFont="1" applyFill="1" applyBorder="1" applyAlignment="1">
      <alignment vertical="center" wrapText="1"/>
    </xf>
    <xf numFmtId="0" fontId="2" fillId="3" borderId="46" xfId="0" applyFont="1" applyFill="1" applyBorder="1" applyAlignment="1">
      <alignment vertical="center" wrapText="1"/>
    </xf>
    <xf numFmtId="0" fontId="1" fillId="3" borderId="48" xfId="0" applyFont="1" applyFill="1" applyBorder="1" applyAlignment="1">
      <alignment vertical="center"/>
    </xf>
    <xf numFmtId="0" fontId="2" fillId="3" borderId="50" xfId="0" applyFont="1" applyFill="1" applyBorder="1" applyAlignment="1">
      <alignment vertical="center" wrapText="1"/>
    </xf>
    <xf numFmtId="3" fontId="2" fillId="0" borderId="52" xfId="0" applyNumberFormat="1" applyFont="1" applyBorder="1" applyAlignment="1">
      <alignment vertical="center" wrapText="1"/>
    </xf>
    <xf numFmtId="0" fontId="2" fillId="3" borderId="53" xfId="0" applyFont="1" applyFill="1" applyBorder="1" applyAlignment="1">
      <alignment vertical="center" wrapText="1"/>
    </xf>
    <xf numFmtId="0" fontId="1" fillId="6" borderId="39" xfId="0" applyFont="1" applyFill="1" applyBorder="1" applyAlignment="1">
      <alignment vertical="center" wrapText="1"/>
    </xf>
    <xf numFmtId="0" fontId="1" fillId="3" borderId="55" xfId="0" applyFont="1" applyFill="1" applyBorder="1" applyAlignment="1">
      <alignment vertical="center"/>
    </xf>
    <xf numFmtId="0" fontId="1" fillId="3" borderId="56" xfId="0" applyFont="1" applyFill="1" applyBorder="1" applyAlignment="1">
      <alignment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3" fontId="2" fillId="0" borderId="37" xfId="0" applyNumberFormat="1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" fillId="3" borderId="24" xfId="0" applyFont="1" applyFill="1" applyBorder="1" applyAlignment="1">
      <alignment horizontal="center" vertical="center"/>
    </xf>
    <xf numFmtId="0" fontId="12" fillId="7" borderId="27" xfId="0" applyFont="1" applyFill="1" applyBorder="1" applyAlignment="1">
      <alignment vertical="center" wrapText="1"/>
    </xf>
    <xf numFmtId="0" fontId="12" fillId="7" borderId="26" xfId="0" applyFont="1" applyFill="1" applyBorder="1" applyAlignment="1">
      <alignment vertical="center" wrapText="1"/>
    </xf>
    <xf numFmtId="0" fontId="2" fillId="3" borderId="49" xfId="0" applyFont="1" applyFill="1" applyBorder="1" applyAlignment="1">
      <alignment vertical="center" wrapText="1"/>
    </xf>
    <xf numFmtId="0" fontId="2" fillId="3" borderId="50" xfId="0" applyFont="1" applyFill="1" applyBorder="1" applyAlignment="1">
      <alignment vertical="center" wrapText="1"/>
    </xf>
    <xf numFmtId="0" fontId="2" fillId="3" borderId="51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3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3" fontId="13" fillId="9" borderId="1" xfId="0" applyNumberFormat="1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0" fillId="0" borderId="32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5" fillId="2" borderId="2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left" vertical="center" shrinkToFit="1"/>
    </xf>
    <xf numFmtId="3" fontId="3" fillId="0" borderId="4" xfId="0" applyNumberFormat="1" applyFont="1" applyBorder="1" applyAlignment="1">
      <alignment horizontal="left" vertical="center" shrinkToFit="1"/>
    </xf>
    <xf numFmtId="3" fontId="3" fillId="0" borderId="3" xfId="0" applyNumberFormat="1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3" borderId="10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3" borderId="13" xfId="0" applyFont="1" applyFill="1" applyBorder="1" applyAlignment="1">
      <alignment horizontal="left" wrapText="1"/>
    </xf>
    <xf numFmtId="0" fontId="2" fillId="3" borderId="15" xfId="0" applyFont="1" applyFill="1" applyBorder="1" applyAlignment="1">
      <alignment horizontal="left" wrapText="1"/>
    </xf>
    <xf numFmtId="0" fontId="2" fillId="3" borderId="14" xfId="0" applyFont="1" applyFill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14" fontId="2" fillId="0" borderId="4" xfId="0" applyNumberFormat="1" applyFont="1" applyBorder="1" applyAlignment="1">
      <alignment horizontal="left" wrapText="1"/>
    </xf>
    <xf numFmtId="14" fontId="2" fillId="0" borderId="3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3" borderId="16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 wrapText="1"/>
    </xf>
    <xf numFmtId="0" fontId="2" fillId="0" borderId="16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wrapText="1"/>
    </xf>
    <xf numFmtId="0" fontId="2" fillId="0" borderId="18" xfId="0" applyFont="1" applyBorder="1" applyAlignment="1">
      <alignment horizontal="right" wrapText="1"/>
    </xf>
    <xf numFmtId="0" fontId="2" fillId="0" borderId="17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" fillId="3" borderId="60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3" fontId="2" fillId="0" borderId="2" xfId="0" applyNumberFormat="1" applyFont="1" applyBorder="1" applyAlignment="1">
      <alignment vertical="center" wrapText="1"/>
    </xf>
    <xf numFmtId="0" fontId="3" fillId="0" borderId="61" xfId="0" applyFont="1" applyBorder="1" applyAlignment="1">
      <alignment vertical="center" wrapText="1"/>
    </xf>
    <xf numFmtId="0" fontId="2" fillId="0" borderId="62" xfId="0" applyFont="1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3" xfId="0" applyFont="1" applyBorder="1" applyAlignment="1">
      <alignment vertical="center" wrapText="1"/>
    </xf>
    <xf numFmtId="3" fontId="2" fillId="0" borderId="63" xfId="0" applyNumberFormat="1" applyFont="1" applyBorder="1" applyAlignment="1">
      <alignment vertical="center" wrapText="1"/>
    </xf>
    <xf numFmtId="0" fontId="2" fillId="0" borderId="61" xfId="0" applyFon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64" xfId="0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3" fontId="2" fillId="8" borderId="27" xfId="0" applyNumberFormat="1" applyFont="1" applyFill="1" applyBorder="1" applyAlignment="1">
      <alignment vertical="center" wrapText="1"/>
    </xf>
    <xf numFmtId="3" fontId="2" fillId="8" borderId="26" xfId="0" applyNumberFormat="1" applyFont="1" applyFill="1" applyBorder="1" applyAlignment="1">
      <alignment vertical="center" wrapText="1"/>
    </xf>
    <xf numFmtId="3" fontId="2" fillId="8" borderId="54" xfId="0" applyNumberFormat="1" applyFont="1" applyFill="1" applyBorder="1" applyAlignment="1">
      <alignment vertical="center" wrapText="1"/>
    </xf>
    <xf numFmtId="3" fontId="7" fillId="8" borderId="16" xfId="0" applyNumberFormat="1" applyFont="1" applyFill="1" applyBorder="1" applyAlignment="1">
      <alignment vertical="center"/>
    </xf>
    <xf numFmtId="3" fontId="2" fillId="8" borderId="2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880A-E20D-43B6-A87A-24DEF8544BF7}">
  <sheetPr>
    <pageSetUpPr fitToPage="1"/>
  </sheetPr>
  <dimension ref="A1:T43"/>
  <sheetViews>
    <sheetView tabSelected="1" workbookViewId="0">
      <selection activeCell="B3" sqref="B3:E3"/>
    </sheetView>
  </sheetViews>
  <sheetFormatPr defaultColWidth="9.1796875" defaultRowHeight="13" x14ac:dyDescent="0.35"/>
  <cols>
    <col min="1" max="1" width="22.81640625" style="30" customWidth="1"/>
    <col min="2" max="2" width="8.81640625" style="30" customWidth="1"/>
    <col min="3" max="4" width="5.6328125" style="30" customWidth="1"/>
    <col min="5" max="5" width="10.81640625" style="30" customWidth="1"/>
    <col min="6" max="6" width="8.81640625" style="30" customWidth="1"/>
    <col min="7" max="8" width="5.6328125" style="30" customWidth="1"/>
    <col min="9" max="10" width="10.81640625" style="30" customWidth="1"/>
    <col min="11" max="11" width="8.81640625" style="30" customWidth="1"/>
    <col min="12" max="13" width="5.6328125" style="30" customWidth="1"/>
    <col min="14" max="15" width="10.81640625" style="30" customWidth="1"/>
    <col min="16" max="16" width="8.81640625" style="30" customWidth="1"/>
    <col min="17" max="18" width="5.6328125" style="30" customWidth="1"/>
    <col min="19" max="20" width="10.81640625" style="30" customWidth="1"/>
    <col min="21" max="21" width="4" style="30" customWidth="1"/>
    <col min="22" max="16384" width="9.1796875" style="30"/>
  </cols>
  <sheetData>
    <row r="1" spans="1:20" ht="15.5" thickTop="1" thickBot="1" x14ac:dyDescent="0.4">
      <c r="A1" s="119" t="s">
        <v>40</v>
      </c>
      <c r="B1" s="120"/>
      <c r="C1" s="120"/>
      <c r="D1" s="120"/>
      <c r="E1" s="120"/>
      <c r="F1" s="120"/>
      <c r="G1" s="120"/>
      <c r="H1" s="120"/>
      <c r="I1" s="120"/>
      <c r="J1" s="120"/>
      <c r="K1" s="121"/>
      <c r="L1" s="121"/>
      <c r="M1" s="121"/>
      <c r="N1" s="121"/>
      <c r="O1" s="121"/>
      <c r="P1" s="121"/>
      <c r="Q1" s="121"/>
      <c r="R1" s="121"/>
      <c r="S1" s="121"/>
      <c r="T1" s="122"/>
    </row>
    <row r="2" spans="1:20" ht="14" customHeight="1" thickTop="1" x14ac:dyDescent="0.35">
      <c r="A2" s="43" t="s">
        <v>42</v>
      </c>
      <c r="B2" s="100" t="s">
        <v>33</v>
      </c>
      <c r="C2" s="106"/>
      <c r="D2" s="106"/>
      <c r="E2" s="102"/>
      <c r="F2" s="100" t="s">
        <v>35</v>
      </c>
      <c r="G2" s="101"/>
      <c r="H2" s="101"/>
      <c r="I2" s="101"/>
      <c r="J2" s="102"/>
      <c r="K2" s="100" t="s">
        <v>36</v>
      </c>
      <c r="L2" s="101"/>
      <c r="M2" s="101"/>
      <c r="N2" s="101"/>
      <c r="O2" s="102"/>
      <c r="P2" s="100" t="s">
        <v>37</v>
      </c>
      <c r="Q2" s="101"/>
      <c r="R2" s="101"/>
      <c r="S2" s="101"/>
      <c r="T2" s="125"/>
    </row>
    <row r="3" spans="1:20" ht="16.5" customHeight="1" x14ac:dyDescent="0.35">
      <c r="A3" s="44" t="s">
        <v>95</v>
      </c>
      <c r="B3" s="103" t="s">
        <v>96</v>
      </c>
      <c r="C3" s="104"/>
      <c r="D3" s="104"/>
      <c r="E3" s="105"/>
      <c r="F3" s="103" t="s">
        <v>96</v>
      </c>
      <c r="G3" s="104"/>
      <c r="H3" s="104"/>
      <c r="I3" s="105"/>
      <c r="J3" s="91"/>
      <c r="K3" s="103" t="s">
        <v>96</v>
      </c>
      <c r="L3" s="104"/>
      <c r="M3" s="104"/>
      <c r="N3" s="105"/>
      <c r="O3" s="91"/>
      <c r="P3" s="103" t="s">
        <v>96</v>
      </c>
      <c r="Q3" s="104"/>
      <c r="R3" s="104"/>
      <c r="S3" s="105"/>
      <c r="T3" s="126"/>
    </row>
    <row r="4" spans="1:20" ht="14.5" x14ac:dyDescent="0.35">
      <c r="A4" s="44" t="s">
        <v>94</v>
      </c>
      <c r="B4" s="75" t="s">
        <v>46</v>
      </c>
      <c r="C4" s="76"/>
      <c r="D4" s="77"/>
      <c r="E4" s="41" t="s">
        <v>43</v>
      </c>
      <c r="F4" s="78" t="s">
        <v>91</v>
      </c>
      <c r="G4" s="79"/>
      <c r="H4" s="80"/>
      <c r="I4" s="40" t="s">
        <v>90</v>
      </c>
      <c r="J4" s="39" t="s">
        <v>92</v>
      </c>
      <c r="K4" s="78" t="s">
        <v>91</v>
      </c>
      <c r="L4" s="79"/>
      <c r="M4" s="80"/>
      <c r="N4" s="40" t="s">
        <v>90</v>
      </c>
      <c r="O4" s="39" t="s">
        <v>92</v>
      </c>
      <c r="P4" s="78" t="s">
        <v>91</v>
      </c>
      <c r="Q4" s="79"/>
      <c r="R4" s="80"/>
      <c r="S4" s="40" t="s">
        <v>90</v>
      </c>
      <c r="T4" s="45" t="s">
        <v>92</v>
      </c>
    </row>
    <row r="5" spans="1:20" ht="14" customHeight="1" thickBot="1" x14ac:dyDescent="0.4">
      <c r="A5" s="65" t="s">
        <v>93</v>
      </c>
      <c r="B5" s="107" t="s">
        <v>43</v>
      </c>
      <c r="C5" s="108"/>
      <c r="D5" s="108"/>
      <c r="E5" s="42" t="s">
        <v>43</v>
      </c>
      <c r="F5" s="234">
        <v>1500000</v>
      </c>
      <c r="G5" s="235"/>
      <c r="H5" s="236"/>
      <c r="I5" s="237">
        <v>0</v>
      </c>
      <c r="J5" s="238" t="s">
        <v>110</v>
      </c>
      <c r="K5" s="234">
        <v>1500000</v>
      </c>
      <c r="L5" s="235"/>
      <c r="M5" s="236"/>
      <c r="N5" s="237">
        <v>0</v>
      </c>
      <c r="O5" s="238" t="s">
        <v>110</v>
      </c>
      <c r="P5" s="234">
        <v>1500000</v>
      </c>
      <c r="Q5" s="235"/>
      <c r="R5" s="236"/>
      <c r="S5" s="237">
        <v>0</v>
      </c>
      <c r="T5" s="238" t="s">
        <v>110</v>
      </c>
    </row>
    <row r="6" spans="1:20" ht="14" customHeight="1" thickTop="1" x14ac:dyDescent="0.35">
      <c r="A6" s="67" t="s">
        <v>107</v>
      </c>
      <c r="B6" s="97" t="s">
        <v>83</v>
      </c>
      <c r="C6" s="98"/>
      <c r="D6" s="98"/>
      <c r="E6" s="68" t="s">
        <v>82</v>
      </c>
      <c r="F6" s="97" t="s">
        <v>83</v>
      </c>
      <c r="G6" s="99"/>
      <c r="H6" s="99"/>
      <c r="I6" s="68" t="s">
        <v>82</v>
      </c>
      <c r="J6" s="68" t="s">
        <v>84</v>
      </c>
      <c r="K6" s="97" t="s">
        <v>83</v>
      </c>
      <c r="L6" s="99"/>
      <c r="M6" s="99"/>
      <c r="N6" s="68" t="s">
        <v>82</v>
      </c>
      <c r="O6" s="68" t="s">
        <v>84</v>
      </c>
      <c r="P6" s="97" t="s">
        <v>83</v>
      </c>
      <c r="Q6" s="99"/>
      <c r="R6" s="99"/>
      <c r="S6" s="68" t="s">
        <v>82</v>
      </c>
      <c r="T6" s="69" t="s">
        <v>84</v>
      </c>
    </row>
    <row r="7" spans="1:20" ht="14" customHeight="1" x14ac:dyDescent="0.35">
      <c r="A7" s="46" t="s">
        <v>97</v>
      </c>
      <c r="B7" s="35">
        <v>43111</v>
      </c>
      <c r="C7" s="36">
        <v>400</v>
      </c>
      <c r="D7" s="36">
        <v>100</v>
      </c>
      <c r="E7" s="24"/>
      <c r="F7" s="35">
        <v>43111</v>
      </c>
      <c r="G7" s="36">
        <v>400</v>
      </c>
      <c r="H7" s="36">
        <v>100</v>
      </c>
      <c r="I7" s="26"/>
      <c r="J7" s="25"/>
      <c r="K7" s="35">
        <v>43111</v>
      </c>
      <c r="L7" s="36">
        <v>400</v>
      </c>
      <c r="M7" s="36">
        <v>100</v>
      </c>
      <c r="N7" s="223"/>
      <c r="O7" s="24"/>
      <c r="P7" s="35">
        <v>43111</v>
      </c>
      <c r="Q7" s="36">
        <v>400</v>
      </c>
      <c r="R7" s="36">
        <v>100</v>
      </c>
      <c r="S7" s="223"/>
      <c r="T7" s="225"/>
    </row>
    <row r="8" spans="1:20" ht="14.5" customHeight="1" x14ac:dyDescent="0.35">
      <c r="A8" s="46" t="s">
        <v>98</v>
      </c>
      <c r="B8" s="38">
        <v>-122.123456</v>
      </c>
      <c r="C8" s="81">
        <v>32.123455999999997</v>
      </c>
      <c r="D8" s="79"/>
      <c r="E8" s="223">
        <v>10333444</v>
      </c>
      <c r="F8" s="37">
        <v>-122.123456</v>
      </c>
      <c r="G8" s="82">
        <v>32.123455999999997</v>
      </c>
      <c r="H8" s="83"/>
      <c r="I8" s="26"/>
      <c r="J8" s="25"/>
      <c r="K8" s="37">
        <v>-122.123456</v>
      </c>
      <c r="L8" s="82">
        <v>32.123455999999997</v>
      </c>
      <c r="M8" s="83"/>
      <c r="N8" s="223"/>
      <c r="O8" s="24"/>
      <c r="P8" s="37">
        <v>-122.123456</v>
      </c>
      <c r="Q8" s="82">
        <v>32.123455999999997</v>
      </c>
      <c r="R8" s="83"/>
      <c r="S8" s="223"/>
      <c r="T8" s="225"/>
    </row>
    <row r="9" spans="1:20" ht="14.5" x14ac:dyDescent="0.35">
      <c r="A9" s="46" t="s">
        <v>99</v>
      </c>
      <c r="B9" s="38" t="s">
        <v>101</v>
      </c>
      <c r="C9" s="81" t="s">
        <v>100</v>
      </c>
      <c r="D9" s="79"/>
      <c r="E9" s="24"/>
      <c r="F9" s="38" t="str">
        <f t="shared" ref="F9" si="0">B9</f>
        <v>888,888 sf</v>
      </c>
      <c r="G9" s="81" t="s">
        <v>100</v>
      </c>
      <c r="H9" s="79"/>
      <c r="I9" s="26"/>
      <c r="J9" s="25"/>
      <c r="K9" s="38" t="str">
        <f t="shared" ref="K9:M9" si="1">B9</f>
        <v>888,888 sf</v>
      </c>
      <c r="L9" s="81" t="s">
        <v>100</v>
      </c>
      <c r="M9" s="79"/>
      <c r="N9" s="223"/>
      <c r="O9" s="24"/>
      <c r="P9" s="38">
        <v>5500</v>
      </c>
      <c r="Q9" s="81" t="s">
        <v>100</v>
      </c>
      <c r="R9" s="79"/>
      <c r="S9" s="223"/>
      <c r="T9" s="225"/>
    </row>
    <row r="10" spans="1:20" ht="13.5" customHeight="1" x14ac:dyDescent="0.35">
      <c r="A10" s="47" t="s">
        <v>103</v>
      </c>
      <c r="B10" s="38">
        <v>32</v>
      </c>
      <c r="C10" s="81">
        <v>10</v>
      </c>
      <c r="D10" s="79"/>
      <c r="E10" s="24"/>
      <c r="F10" s="38">
        <v>32</v>
      </c>
      <c r="G10" s="81">
        <v>10</v>
      </c>
      <c r="H10" s="79"/>
      <c r="I10" s="26"/>
      <c r="J10" s="25"/>
      <c r="K10" s="38">
        <v>32</v>
      </c>
      <c r="L10" s="81">
        <v>10</v>
      </c>
      <c r="M10" s="79"/>
      <c r="N10" s="223"/>
      <c r="O10" s="24"/>
      <c r="P10" s="38">
        <v>32</v>
      </c>
      <c r="Q10" s="81">
        <v>10</v>
      </c>
      <c r="R10" s="79"/>
      <c r="S10" s="223"/>
      <c r="T10" s="225"/>
    </row>
    <row r="11" spans="1:20" ht="14" customHeight="1" x14ac:dyDescent="0.35">
      <c r="A11" s="46" t="s">
        <v>80</v>
      </c>
      <c r="B11" s="92">
        <v>4</v>
      </c>
      <c r="C11" s="93"/>
      <c r="D11" s="93"/>
      <c r="E11" s="24"/>
      <c r="F11" s="92">
        <v>4</v>
      </c>
      <c r="G11" s="93"/>
      <c r="H11" s="93"/>
      <c r="I11" s="26">
        <f>157160*0.33</f>
        <v>51862.8</v>
      </c>
      <c r="J11" s="25"/>
      <c r="K11" s="92">
        <v>4</v>
      </c>
      <c r="L11" s="93"/>
      <c r="M11" s="233"/>
      <c r="N11" s="223">
        <f>157160*0.33</f>
        <v>51862.8</v>
      </c>
      <c r="O11" s="24"/>
      <c r="P11" s="92">
        <v>4</v>
      </c>
      <c r="Q11" s="93"/>
      <c r="R11" s="233"/>
      <c r="S11" s="223">
        <f>157160*0.33</f>
        <v>51862.8</v>
      </c>
      <c r="T11" s="225"/>
    </row>
    <row r="12" spans="1:20" ht="14" customHeight="1" x14ac:dyDescent="0.35">
      <c r="A12" s="46" t="s">
        <v>81</v>
      </c>
      <c r="B12" s="92">
        <v>2</v>
      </c>
      <c r="C12" s="93"/>
      <c r="D12" s="93"/>
      <c r="E12" s="24"/>
      <c r="F12" s="92">
        <v>2</v>
      </c>
      <c r="G12" s="93"/>
      <c r="H12" s="93"/>
      <c r="I12" s="26">
        <f>157160*0.33</f>
        <v>51862.8</v>
      </c>
      <c r="J12" s="25"/>
      <c r="K12" s="92">
        <v>2</v>
      </c>
      <c r="L12" s="93"/>
      <c r="M12" s="233"/>
      <c r="N12" s="223">
        <f>157160*0.33</f>
        <v>51862.8</v>
      </c>
      <c r="O12" s="24"/>
      <c r="P12" s="92">
        <v>2</v>
      </c>
      <c r="Q12" s="93"/>
      <c r="R12" s="233"/>
      <c r="S12" s="223">
        <f>157160*0.33</f>
        <v>51862.8</v>
      </c>
      <c r="T12" s="225"/>
    </row>
    <row r="13" spans="1:20" ht="14" customHeight="1" x14ac:dyDescent="0.35">
      <c r="A13" s="46" t="s">
        <v>86</v>
      </c>
      <c r="B13" s="92">
        <v>2000</v>
      </c>
      <c r="C13" s="93"/>
      <c r="D13" s="93"/>
      <c r="E13" s="24"/>
      <c r="F13" s="92">
        <v>2000</v>
      </c>
      <c r="G13" s="93"/>
      <c r="H13" s="93"/>
      <c r="I13" s="26">
        <f>157160*0.33</f>
        <v>51862.8</v>
      </c>
      <c r="J13" s="25"/>
      <c r="K13" s="92">
        <v>2000</v>
      </c>
      <c r="L13" s="93"/>
      <c r="M13" s="233"/>
      <c r="N13" s="223">
        <f>157160*0.33</f>
        <v>51862.8</v>
      </c>
      <c r="O13" s="24"/>
      <c r="P13" s="92">
        <v>2000</v>
      </c>
      <c r="Q13" s="93"/>
      <c r="R13" s="233"/>
      <c r="S13" s="223">
        <f>157160*0.33</f>
        <v>51862.8</v>
      </c>
      <c r="T13" s="225"/>
    </row>
    <row r="14" spans="1:20" ht="14" customHeight="1" x14ac:dyDescent="0.35">
      <c r="A14" s="46" t="s">
        <v>87</v>
      </c>
      <c r="B14" s="92">
        <v>1000</v>
      </c>
      <c r="C14" s="93"/>
      <c r="D14" s="93"/>
      <c r="E14" s="24"/>
      <c r="F14" s="92">
        <v>1000</v>
      </c>
      <c r="G14" s="93"/>
      <c r="H14" s="93"/>
      <c r="I14" s="26"/>
      <c r="J14" s="25"/>
      <c r="K14" s="92">
        <v>1000</v>
      </c>
      <c r="L14" s="93"/>
      <c r="M14" s="233"/>
      <c r="N14" s="223"/>
      <c r="O14" s="24"/>
      <c r="P14" s="92">
        <v>1000</v>
      </c>
      <c r="Q14" s="93"/>
      <c r="R14" s="233"/>
      <c r="S14" s="223"/>
      <c r="T14" s="225"/>
    </row>
    <row r="15" spans="1:20" ht="14" customHeight="1" x14ac:dyDescent="0.35">
      <c r="A15" s="46" t="s">
        <v>88</v>
      </c>
      <c r="B15" s="92">
        <v>0</v>
      </c>
      <c r="C15" s="93"/>
      <c r="D15" s="93"/>
      <c r="E15" s="24"/>
      <c r="F15" s="92">
        <v>0</v>
      </c>
      <c r="G15" s="93"/>
      <c r="H15" s="93"/>
      <c r="I15" s="26"/>
      <c r="J15" s="25"/>
      <c r="K15" s="92">
        <v>0</v>
      </c>
      <c r="L15" s="93"/>
      <c r="M15" s="233"/>
      <c r="N15" s="223"/>
      <c r="O15" s="24"/>
      <c r="P15" s="92">
        <v>0</v>
      </c>
      <c r="Q15" s="93"/>
      <c r="R15" s="233"/>
      <c r="S15" s="223"/>
      <c r="T15" s="225"/>
    </row>
    <row r="16" spans="1:20" ht="14" customHeight="1" x14ac:dyDescent="0.35">
      <c r="A16" s="46" t="s">
        <v>102</v>
      </c>
      <c r="B16" s="92">
        <v>0</v>
      </c>
      <c r="C16" s="93"/>
      <c r="D16" s="93"/>
      <c r="E16" s="24"/>
      <c r="F16" s="92">
        <v>0</v>
      </c>
      <c r="G16" s="93"/>
      <c r="H16" s="93"/>
      <c r="I16" s="26"/>
      <c r="J16" s="25"/>
      <c r="K16" s="92">
        <v>0</v>
      </c>
      <c r="L16" s="93"/>
      <c r="M16" s="93"/>
      <c r="N16" s="223"/>
      <c r="O16" s="24"/>
      <c r="P16" s="92">
        <v>0</v>
      </c>
      <c r="Q16" s="93"/>
      <c r="R16" s="93"/>
      <c r="S16" s="223"/>
      <c r="T16" s="225"/>
    </row>
    <row r="17" spans="1:20" ht="16.5" customHeight="1" x14ac:dyDescent="0.35">
      <c r="A17" s="46" t="s">
        <v>85</v>
      </c>
      <c r="B17" s="87" t="s">
        <v>58</v>
      </c>
      <c r="C17" s="88"/>
      <c r="D17" s="88"/>
      <c r="E17" s="31"/>
      <c r="F17" s="87" t="s">
        <v>58</v>
      </c>
      <c r="G17" s="88"/>
      <c r="H17" s="88"/>
      <c r="I17" s="26"/>
      <c r="J17" s="32"/>
      <c r="K17" s="87" t="s">
        <v>58</v>
      </c>
      <c r="L17" s="88"/>
      <c r="M17" s="89"/>
      <c r="N17" s="223"/>
      <c r="O17" s="31"/>
      <c r="P17" s="87" t="s">
        <v>58</v>
      </c>
      <c r="Q17" s="88"/>
      <c r="R17" s="89"/>
      <c r="S17" s="223"/>
      <c r="T17" s="226"/>
    </row>
    <row r="18" spans="1:20" ht="14.5" x14ac:dyDescent="0.35">
      <c r="A18" s="46" t="s">
        <v>111</v>
      </c>
      <c r="B18" s="90"/>
      <c r="C18" s="83" t="s">
        <v>43</v>
      </c>
      <c r="D18" s="91"/>
      <c r="E18" s="24"/>
      <c r="F18" s="90"/>
      <c r="G18" s="83" t="s">
        <v>43</v>
      </c>
      <c r="H18" s="91"/>
      <c r="I18" s="26"/>
      <c r="J18" s="25"/>
      <c r="K18" s="90"/>
      <c r="L18" s="83" t="s">
        <v>43</v>
      </c>
      <c r="M18" s="91"/>
      <c r="N18" s="223"/>
      <c r="O18" s="24"/>
      <c r="P18" s="90"/>
      <c r="Q18" s="83" t="s">
        <v>43</v>
      </c>
      <c r="R18" s="91"/>
      <c r="S18" s="223"/>
      <c r="T18" s="225"/>
    </row>
    <row r="19" spans="1:20" ht="16.5" customHeight="1" x14ac:dyDescent="0.35">
      <c r="A19" s="49" t="s">
        <v>114</v>
      </c>
      <c r="B19" s="90"/>
      <c r="C19" s="83"/>
      <c r="D19" s="91"/>
      <c r="E19" s="31"/>
      <c r="F19" s="90"/>
      <c r="G19" s="83"/>
      <c r="H19" s="91"/>
      <c r="I19" s="26"/>
      <c r="J19" s="32"/>
      <c r="K19" s="90"/>
      <c r="L19" s="83"/>
      <c r="M19" s="91"/>
      <c r="N19" s="27"/>
      <c r="O19" s="31"/>
      <c r="P19" s="90"/>
      <c r="Q19" s="83"/>
      <c r="R19" s="91"/>
      <c r="S19" s="227"/>
      <c r="T19" s="48"/>
    </row>
    <row r="20" spans="1:20" ht="16.5" customHeight="1" x14ac:dyDescent="0.35">
      <c r="A20" s="49"/>
      <c r="B20" s="90"/>
      <c r="C20" s="83"/>
      <c r="D20" s="91"/>
      <c r="E20" s="31"/>
      <c r="F20" s="90"/>
      <c r="G20" s="83"/>
      <c r="H20" s="91"/>
      <c r="I20" s="26"/>
      <c r="J20" s="32"/>
      <c r="K20" s="90"/>
      <c r="L20" s="83"/>
      <c r="M20" s="91"/>
      <c r="N20" s="27"/>
      <c r="O20" s="31"/>
      <c r="P20" s="90"/>
      <c r="Q20" s="83"/>
      <c r="R20" s="91"/>
      <c r="S20" s="227"/>
      <c r="T20" s="48"/>
    </row>
    <row r="21" spans="1:20" ht="16.5" customHeight="1" x14ac:dyDescent="0.35">
      <c r="A21" s="49"/>
      <c r="B21" s="90"/>
      <c r="C21" s="83"/>
      <c r="D21" s="91"/>
      <c r="E21" s="31"/>
      <c r="F21" s="90"/>
      <c r="G21" s="83"/>
      <c r="H21" s="91"/>
      <c r="I21" s="26"/>
      <c r="J21" s="32"/>
      <c r="K21" s="90"/>
      <c r="L21" s="83"/>
      <c r="M21" s="91"/>
      <c r="N21" s="27"/>
      <c r="O21" s="31"/>
      <c r="P21" s="90"/>
      <c r="Q21" s="83"/>
      <c r="R21" s="91"/>
      <c r="S21" s="227"/>
      <c r="T21" s="48"/>
    </row>
    <row r="22" spans="1:20" ht="16.5" customHeight="1" thickBot="1" x14ac:dyDescent="0.4">
      <c r="A22" s="70"/>
      <c r="B22" s="230"/>
      <c r="C22" s="231"/>
      <c r="D22" s="232"/>
      <c r="E22" s="224"/>
      <c r="F22" s="230"/>
      <c r="G22" s="231"/>
      <c r="H22" s="232"/>
      <c r="I22" s="229"/>
      <c r="J22" s="71"/>
      <c r="K22" s="230"/>
      <c r="L22" s="231"/>
      <c r="M22" s="232"/>
      <c r="N22" s="72"/>
      <c r="O22" s="224"/>
      <c r="P22" s="230"/>
      <c r="Q22" s="231"/>
      <c r="R22" s="232"/>
      <c r="S22" s="228"/>
      <c r="T22" s="73"/>
    </row>
    <row r="23" spans="1:20" ht="13.5" thickTop="1" x14ac:dyDescent="0.35">
      <c r="A23" s="52" t="s">
        <v>108</v>
      </c>
      <c r="B23" s="94" t="s">
        <v>89</v>
      </c>
      <c r="C23" s="95"/>
      <c r="D23" s="95"/>
      <c r="E23" s="23" t="s">
        <v>82</v>
      </c>
      <c r="F23" s="94" t="s">
        <v>89</v>
      </c>
      <c r="G23" s="96"/>
      <c r="H23" s="96"/>
      <c r="I23" s="23" t="s">
        <v>82</v>
      </c>
      <c r="J23" s="23" t="s">
        <v>84</v>
      </c>
      <c r="K23" s="94" t="s">
        <v>89</v>
      </c>
      <c r="L23" s="96"/>
      <c r="M23" s="96"/>
      <c r="N23" s="23" t="s">
        <v>82</v>
      </c>
      <c r="O23" s="23" t="s">
        <v>84</v>
      </c>
      <c r="P23" s="94" t="s">
        <v>89</v>
      </c>
      <c r="Q23" s="96"/>
      <c r="R23" s="96"/>
      <c r="S23" s="23" t="s">
        <v>82</v>
      </c>
      <c r="T23" s="66" t="s">
        <v>84</v>
      </c>
    </row>
    <row r="24" spans="1:20" ht="14.5" x14ac:dyDescent="0.35">
      <c r="A24" s="52" t="s">
        <v>109</v>
      </c>
      <c r="B24" s="50">
        <v>2.5</v>
      </c>
      <c r="C24" s="123">
        <v>110000</v>
      </c>
      <c r="D24" s="124"/>
      <c r="E24" s="50">
        <v>110000</v>
      </c>
      <c r="F24" s="50"/>
      <c r="G24" s="51"/>
      <c r="H24" s="51"/>
      <c r="I24" s="50"/>
      <c r="J24" s="50"/>
      <c r="K24" s="50"/>
      <c r="L24" s="51"/>
      <c r="M24" s="51"/>
      <c r="N24" s="50"/>
      <c r="O24" s="50"/>
      <c r="P24" s="50"/>
      <c r="Q24" s="51"/>
      <c r="R24" s="51"/>
      <c r="S24" s="50"/>
      <c r="T24" s="53"/>
    </row>
    <row r="25" spans="1:20" x14ac:dyDescent="0.35">
      <c r="A25" s="54" t="s">
        <v>32</v>
      </c>
      <c r="B25" s="84" t="s">
        <v>51</v>
      </c>
      <c r="C25" s="85"/>
      <c r="D25" s="85"/>
      <c r="E25" s="34"/>
      <c r="F25" s="84"/>
      <c r="G25" s="112"/>
      <c r="H25" s="113"/>
      <c r="I25" s="26"/>
      <c r="J25" s="34"/>
      <c r="K25" s="84"/>
      <c r="L25" s="112"/>
      <c r="M25" s="113"/>
      <c r="N25" s="26"/>
      <c r="O25" s="34"/>
      <c r="P25" s="84"/>
      <c r="Q25" s="112"/>
      <c r="R25" s="113"/>
      <c r="S25" s="26"/>
      <c r="T25" s="55"/>
    </row>
    <row r="26" spans="1:20" x14ac:dyDescent="0.35">
      <c r="A26" s="54" t="s">
        <v>112</v>
      </c>
      <c r="B26" s="24"/>
      <c r="C26" s="25"/>
      <c r="D26" s="25"/>
      <c r="E26" s="34"/>
      <c r="F26" s="24"/>
      <c r="G26" s="34"/>
      <c r="H26" s="74"/>
      <c r="I26" s="26"/>
      <c r="J26" s="34"/>
      <c r="K26" s="24"/>
      <c r="L26" s="34"/>
      <c r="M26" s="74"/>
      <c r="N26" s="26"/>
      <c r="O26" s="34"/>
      <c r="P26" s="24"/>
      <c r="Q26" s="34"/>
      <c r="R26" s="74"/>
      <c r="S26" s="26"/>
      <c r="T26" s="55"/>
    </row>
    <row r="27" spans="1:20" x14ac:dyDescent="0.35">
      <c r="A27" s="54" t="s">
        <v>113</v>
      </c>
      <c r="B27" s="84">
        <v>4.5</v>
      </c>
      <c r="C27" s="85"/>
      <c r="D27" s="85"/>
      <c r="E27" s="25"/>
      <c r="F27" s="84" t="s">
        <v>52</v>
      </c>
      <c r="G27" s="85"/>
      <c r="H27" s="86"/>
      <c r="I27" s="26">
        <f>157160*0.67</f>
        <v>105297.20000000001</v>
      </c>
      <c r="J27" s="25"/>
      <c r="K27" s="84" t="s">
        <v>52</v>
      </c>
      <c r="L27" s="85"/>
      <c r="M27" s="86"/>
      <c r="N27" s="26">
        <f>157160*0.67</f>
        <v>105297.20000000001</v>
      </c>
      <c r="O27" s="25"/>
      <c r="P27" s="84" t="s">
        <v>52</v>
      </c>
      <c r="Q27" s="85"/>
      <c r="R27" s="86"/>
      <c r="S27" s="26">
        <f>157160*0.67</f>
        <v>105297.20000000001</v>
      </c>
      <c r="T27" s="56"/>
    </row>
    <row r="28" spans="1:20" ht="14" customHeight="1" x14ac:dyDescent="0.35">
      <c r="A28" s="54" t="s">
        <v>11</v>
      </c>
      <c r="B28" s="84" t="s">
        <v>66</v>
      </c>
      <c r="C28" s="85"/>
      <c r="D28" s="85"/>
      <c r="E28" s="25"/>
      <c r="F28" s="84" t="s">
        <v>52</v>
      </c>
      <c r="G28" s="85"/>
      <c r="H28" s="86"/>
      <c r="I28" s="26">
        <f>157160*0.33</f>
        <v>51862.8</v>
      </c>
      <c r="J28" s="25"/>
      <c r="K28" s="84" t="s">
        <v>52</v>
      </c>
      <c r="L28" s="85"/>
      <c r="M28" s="86"/>
      <c r="N28" s="26">
        <f>157160*0.33</f>
        <v>51862.8</v>
      </c>
      <c r="O28" s="25"/>
      <c r="P28" s="84" t="s">
        <v>52</v>
      </c>
      <c r="Q28" s="85"/>
      <c r="R28" s="86"/>
      <c r="S28" s="26">
        <f>157160*0.33</f>
        <v>51862.8</v>
      </c>
      <c r="T28" s="56"/>
    </row>
    <row r="29" spans="1:20" ht="15" customHeight="1" x14ac:dyDescent="0.35">
      <c r="A29" s="54" t="s">
        <v>54</v>
      </c>
      <c r="B29" s="84" t="s">
        <v>53</v>
      </c>
      <c r="C29" s="85"/>
      <c r="D29" s="85"/>
      <c r="E29" s="25"/>
      <c r="F29" s="84" t="s">
        <v>53</v>
      </c>
      <c r="G29" s="85"/>
      <c r="H29" s="86"/>
      <c r="I29" s="26"/>
      <c r="J29" s="25"/>
      <c r="K29" s="84" t="s">
        <v>53</v>
      </c>
      <c r="L29" s="85"/>
      <c r="M29" s="86"/>
      <c r="N29" s="26"/>
      <c r="O29" s="25"/>
      <c r="P29" s="84" t="s">
        <v>53</v>
      </c>
      <c r="Q29" s="85"/>
      <c r="R29" s="86"/>
      <c r="S29" s="26"/>
      <c r="T29" s="56"/>
    </row>
    <row r="30" spans="1:20" ht="16.5" customHeight="1" x14ac:dyDescent="0.35">
      <c r="A30" s="46" t="s">
        <v>44</v>
      </c>
      <c r="B30" s="87" t="s">
        <v>55</v>
      </c>
      <c r="C30" s="88"/>
      <c r="D30" s="88"/>
      <c r="E30" s="31"/>
      <c r="F30" s="87" t="s">
        <v>59</v>
      </c>
      <c r="G30" s="88"/>
      <c r="H30" s="88"/>
      <c r="I30" s="26"/>
      <c r="J30" s="32"/>
      <c r="K30" s="87" t="s">
        <v>59</v>
      </c>
      <c r="L30" s="88"/>
      <c r="M30" s="89"/>
      <c r="N30" s="223"/>
      <c r="O30" s="31"/>
      <c r="P30" s="87" t="s">
        <v>59</v>
      </c>
      <c r="Q30" s="88"/>
      <c r="R30" s="89"/>
      <c r="S30" s="223"/>
      <c r="T30" s="226"/>
    </row>
    <row r="31" spans="1:20" ht="16.5" customHeight="1" x14ac:dyDescent="0.35">
      <c r="A31" s="54" t="s">
        <v>21</v>
      </c>
      <c r="B31" s="87" t="s">
        <v>22</v>
      </c>
      <c r="C31" s="88"/>
      <c r="D31" s="88"/>
      <c r="E31" s="32"/>
      <c r="F31" s="87" t="s">
        <v>27</v>
      </c>
      <c r="G31" s="88"/>
      <c r="H31" s="89"/>
      <c r="I31" s="26"/>
      <c r="J31" s="32"/>
      <c r="K31" s="87" t="s">
        <v>27</v>
      </c>
      <c r="L31" s="88"/>
      <c r="M31" s="89"/>
      <c r="N31" s="26"/>
      <c r="O31" s="32"/>
      <c r="P31" s="87" t="s">
        <v>27</v>
      </c>
      <c r="Q31" s="88"/>
      <c r="R31" s="89"/>
      <c r="S31" s="26"/>
      <c r="T31" s="57"/>
    </row>
    <row r="32" spans="1:20" ht="16.5" customHeight="1" x14ac:dyDescent="0.35">
      <c r="A32" s="58" t="s">
        <v>26</v>
      </c>
      <c r="B32" s="87" t="s">
        <v>56</v>
      </c>
      <c r="C32" s="88"/>
      <c r="D32" s="88"/>
      <c r="E32" s="32"/>
      <c r="F32" s="87" t="s">
        <v>27</v>
      </c>
      <c r="G32" s="88"/>
      <c r="H32" s="89"/>
      <c r="I32" s="26">
        <v>10000</v>
      </c>
      <c r="J32" s="32"/>
      <c r="K32" s="87" t="s">
        <v>27</v>
      </c>
      <c r="L32" s="88"/>
      <c r="M32" s="89"/>
      <c r="N32" s="26">
        <v>10000</v>
      </c>
      <c r="O32" s="32"/>
      <c r="P32" s="87" t="s">
        <v>27</v>
      </c>
      <c r="Q32" s="88"/>
      <c r="R32" s="89"/>
      <c r="S32" s="26">
        <v>10000</v>
      </c>
      <c r="T32" s="57"/>
    </row>
    <row r="33" spans="1:20" ht="16.5" customHeight="1" x14ac:dyDescent="0.35">
      <c r="A33" s="222"/>
      <c r="B33" s="87"/>
      <c r="C33" s="88"/>
      <c r="D33" s="88"/>
      <c r="E33" s="32"/>
      <c r="F33" s="87"/>
      <c r="G33" s="88"/>
      <c r="H33" s="89"/>
      <c r="I33" s="26"/>
      <c r="J33" s="32"/>
      <c r="K33" s="87"/>
      <c r="L33" s="88"/>
      <c r="M33" s="89"/>
      <c r="N33" s="26"/>
      <c r="O33" s="32"/>
      <c r="P33" s="87"/>
      <c r="Q33" s="88"/>
      <c r="R33" s="89"/>
      <c r="S33" s="26"/>
      <c r="T33" s="57"/>
    </row>
    <row r="34" spans="1:20" ht="16.5" customHeight="1" x14ac:dyDescent="0.35">
      <c r="A34" s="222"/>
      <c r="B34" s="87"/>
      <c r="C34" s="88"/>
      <c r="D34" s="88"/>
      <c r="E34" s="32"/>
      <c r="F34" s="87"/>
      <c r="G34" s="88"/>
      <c r="H34" s="89"/>
      <c r="I34" s="26"/>
      <c r="J34" s="32"/>
      <c r="K34" s="87"/>
      <c r="L34" s="88"/>
      <c r="M34" s="89"/>
      <c r="N34" s="26"/>
      <c r="O34" s="32"/>
      <c r="P34" s="87"/>
      <c r="Q34" s="88"/>
      <c r="R34" s="89"/>
      <c r="S34" s="26"/>
      <c r="T34" s="57"/>
    </row>
    <row r="35" spans="1:20" ht="16.5" customHeight="1" x14ac:dyDescent="0.35">
      <c r="A35" s="222"/>
      <c r="B35" s="87"/>
      <c r="C35" s="88"/>
      <c r="D35" s="88"/>
      <c r="E35" s="32"/>
      <c r="F35" s="87"/>
      <c r="G35" s="88"/>
      <c r="H35" s="89"/>
      <c r="I35" s="26"/>
      <c r="J35" s="32"/>
      <c r="K35" s="87"/>
      <c r="L35" s="88"/>
      <c r="M35" s="89"/>
      <c r="N35" s="26"/>
      <c r="O35" s="32"/>
      <c r="P35" s="87"/>
      <c r="Q35" s="88"/>
      <c r="R35" s="89"/>
      <c r="S35" s="26"/>
      <c r="T35" s="57"/>
    </row>
    <row r="36" spans="1:20" ht="16.5" customHeight="1" x14ac:dyDescent="0.35">
      <c r="A36" s="222"/>
      <c r="B36" s="87"/>
      <c r="C36" s="88"/>
      <c r="D36" s="88"/>
      <c r="E36" s="32"/>
      <c r="F36" s="87"/>
      <c r="G36" s="88"/>
      <c r="H36" s="89"/>
      <c r="I36" s="26"/>
      <c r="J36" s="33"/>
      <c r="K36" s="87"/>
      <c r="L36" s="88"/>
      <c r="M36" s="89"/>
      <c r="N36" s="26"/>
      <c r="O36" s="33"/>
      <c r="P36" s="87"/>
      <c r="Q36" s="88"/>
      <c r="R36" s="89"/>
      <c r="S36" s="26"/>
      <c r="T36" s="57"/>
    </row>
    <row r="37" spans="1:20" ht="16.5" hidden="1" customHeight="1" x14ac:dyDescent="0.4">
      <c r="A37" s="221"/>
      <c r="B37" s="32"/>
      <c r="C37" s="32"/>
      <c r="D37" s="32"/>
      <c r="E37" s="32"/>
      <c r="F37" s="31"/>
      <c r="G37" s="32"/>
      <c r="H37" s="33"/>
      <c r="I37" s="26"/>
      <c r="J37" s="32"/>
      <c r="K37" s="31"/>
      <c r="L37" s="32"/>
      <c r="M37" s="33"/>
      <c r="N37" s="26"/>
      <c r="O37" s="32"/>
      <c r="P37" s="31"/>
      <c r="Q37" s="32"/>
      <c r="R37" s="33"/>
      <c r="S37" s="26"/>
      <c r="T37" s="57"/>
    </row>
    <row r="38" spans="1:20" x14ac:dyDescent="0.35">
      <c r="A38" s="59" t="s">
        <v>30</v>
      </c>
      <c r="B38" s="114"/>
      <c r="C38" s="115"/>
      <c r="D38" s="115"/>
      <c r="E38" s="29"/>
      <c r="F38" s="87"/>
      <c r="G38" s="88"/>
      <c r="H38" s="89"/>
      <c r="I38" s="26">
        <f>SUM(I7:I32)</f>
        <v>322748.40000000002</v>
      </c>
      <c r="J38" s="29"/>
      <c r="K38" s="87"/>
      <c r="L38" s="88"/>
      <c r="M38" s="89"/>
      <c r="N38" s="26">
        <f>SUM(N7:N32)</f>
        <v>322748.40000000002</v>
      </c>
      <c r="O38" s="29"/>
      <c r="P38" s="87"/>
      <c r="Q38" s="88"/>
      <c r="R38" s="89"/>
      <c r="S38" s="26">
        <f>SUM(S7:S32)</f>
        <v>322748.40000000002</v>
      </c>
      <c r="T38" s="60"/>
    </row>
    <row r="39" spans="1:20" x14ac:dyDescent="0.35">
      <c r="A39" s="54" t="s">
        <v>106</v>
      </c>
      <c r="B39" s="28"/>
      <c r="C39" s="29"/>
      <c r="D39" s="29"/>
      <c r="E39" s="29"/>
      <c r="F39" s="31"/>
      <c r="G39" s="32"/>
      <c r="H39" s="33"/>
      <c r="I39" s="26"/>
      <c r="J39" s="29"/>
      <c r="K39" s="31"/>
      <c r="L39" s="32"/>
      <c r="M39" s="33"/>
      <c r="N39" s="26"/>
      <c r="O39" s="29"/>
      <c r="P39" s="31"/>
      <c r="Q39" s="32"/>
      <c r="R39" s="33"/>
      <c r="S39" s="26"/>
      <c r="T39" s="60"/>
    </row>
    <row r="40" spans="1:20" x14ac:dyDescent="0.35">
      <c r="A40" s="54" t="s">
        <v>105</v>
      </c>
      <c r="B40" s="28"/>
      <c r="C40" s="29"/>
      <c r="D40" s="29"/>
      <c r="E40" s="29"/>
      <c r="F40" s="31"/>
      <c r="G40" s="32"/>
      <c r="H40" s="33"/>
      <c r="I40" s="26"/>
      <c r="J40" s="29"/>
      <c r="K40" s="31"/>
      <c r="L40" s="32"/>
      <c r="M40" s="33"/>
      <c r="N40" s="26"/>
      <c r="O40" s="29"/>
      <c r="P40" s="31"/>
      <c r="Q40" s="32"/>
      <c r="R40" s="33"/>
      <c r="S40" s="26"/>
      <c r="T40" s="60"/>
    </row>
    <row r="41" spans="1:20" ht="13.5" thickBot="1" x14ac:dyDescent="0.4">
      <c r="A41" s="61" t="s">
        <v>31</v>
      </c>
      <c r="B41" s="109"/>
      <c r="C41" s="110"/>
      <c r="D41" s="110"/>
      <c r="E41" s="62"/>
      <c r="F41" s="109"/>
      <c r="G41" s="110"/>
      <c r="H41" s="111"/>
      <c r="I41" s="63" t="e">
        <f>#REF!+I38</f>
        <v>#REF!</v>
      </c>
      <c r="J41" s="62"/>
      <c r="K41" s="109"/>
      <c r="L41" s="110"/>
      <c r="M41" s="111"/>
      <c r="N41" s="63" t="e">
        <f>#REF!+N38</f>
        <v>#REF!</v>
      </c>
      <c r="O41" s="62"/>
      <c r="P41" s="109"/>
      <c r="Q41" s="110"/>
      <c r="R41" s="111"/>
      <c r="S41" s="63" t="e">
        <f>#REF!+S38</f>
        <v>#REF!</v>
      </c>
      <c r="T41" s="64"/>
    </row>
    <row r="42" spans="1:20" ht="15.5" thickTop="1" thickBot="1" x14ac:dyDescent="0.4">
      <c r="A42" s="116" t="s">
        <v>104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8"/>
    </row>
    <row r="43" spans="1:20" ht="13.5" thickTop="1" x14ac:dyDescent="0.35"/>
  </sheetData>
  <mergeCells count="139">
    <mergeCell ref="Q9:R9"/>
    <mergeCell ref="G9:H9"/>
    <mergeCell ref="G10:H10"/>
    <mergeCell ref="L10:M10"/>
    <mergeCell ref="Q10:R10"/>
    <mergeCell ref="B16:D16"/>
    <mergeCell ref="F16:H16"/>
    <mergeCell ref="K16:M16"/>
    <mergeCell ref="P16:R16"/>
    <mergeCell ref="P33:R33"/>
    <mergeCell ref="P34:R34"/>
    <mergeCell ref="P35:R35"/>
    <mergeCell ref="P36:R36"/>
    <mergeCell ref="F18:H18"/>
    <mergeCell ref="F19:H19"/>
    <mergeCell ref="F20:H20"/>
    <mergeCell ref="F21:H21"/>
    <mergeCell ref="F22:H22"/>
    <mergeCell ref="K19:M19"/>
    <mergeCell ref="K20:M20"/>
    <mergeCell ref="K21:M21"/>
    <mergeCell ref="K22:M22"/>
    <mergeCell ref="K18:M18"/>
    <mergeCell ref="P18:R18"/>
    <mergeCell ref="P19:R19"/>
    <mergeCell ref="P20:R20"/>
    <mergeCell ref="P21:R21"/>
    <mergeCell ref="P22:R22"/>
    <mergeCell ref="B35:D35"/>
    <mergeCell ref="B36:D36"/>
    <mergeCell ref="F33:H33"/>
    <mergeCell ref="F34:H34"/>
    <mergeCell ref="F35:H35"/>
    <mergeCell ref="F36:H36"/>
    <mergeCell ref="K33:M33"/>
    <mergeCell ref="K34:M34"/>
    <mergeCell ref="K35:M35"/>
    <mergeCell ref="K36:M36"/>
    <mergeCell ref="P29:R29"/>
    <mergeCell ref="P31:R31"/>
    <mergeCell ref="P32:R32"/>
    <mergeCell ref="P38:R38"/>
    <mergeCell ref="P41:R41"/>
    <mergeCell ref="A42:T42"/>
    <mergeCell ref="A1:T1"/>
    <mergeCell ref="C24:D24"/>
    <mergeCell ref="P14:R14"/>
    <mergeCell ref="P15:R15"/>
    <mergeCell ref="P17:R17"/>
    <mergeCell ref="P30:R30"/>
    <mergeCell ref="P23:R23"/>
    <mergeCell ref="P25:R25"/>
    <mergeCell ref="P27:R27"/>
    <mergeCell ref="P28:R28"/>
    <mergeCell ref="P2:T2"/>
    <mergeCell ref="P3:T3"/>
    <mergeCell ref="P4:R4"/>
    <mergeCell ref="P5:R5"/>
    <mergeCell ref="P6:R6"/>
    <mergeCell ref="Q8:R8"/>
    <mergeCell ref="K38:M38"/>
    <mergeCell ref="K41:M41"/>
    <mergeCell ref="K2:O2"/>
    <mergeCell ref="K3:O3"/>
    <mergeCell ref="K4:M4"/>
    <mergeCell ref="K5:M5"/>
    <mergeCell ref="K6:M6"/>
    <mergeCell ref="L8:M8"/>
    <mergeCell ref="K11:M11"/>
    <mergeCell ref="K23:M23"/>
    <mergeCell ref="K25:M25"/>
    <mergeCell ref="K27:M27"/>
    <mergeCell ref="K28:M28"/>
    <mergeCell ref="K29:M29"/>
    <mergeCell ref="K31:M31"/>
    <mergeCell ref="K32:M32"/>
    <mergeCell ref="L9:M9"/>
    <mergeCell ref="F2:J2"/>
    <mergeCell ref="F3:J3"/>
    <mergeCell ref="B2:E2"/>
    <mergeCell ref="B3:E3"/>
    <mergeCell ref="B5:D5"/>
    <mergeCell ref="F5:H5"/>
    <mergeCell ref="B41:D41"/>
    <mergeCell ref="F41:H41"/>
    <mergeCell ref="B25:D25"/>
    <mergeCell ref="F25:H25"/>
    <mergeCell ref="B32:D32"/>
    <mergeCell ref="F32:H32"/>
    <mergeCell ref="B38:D38"/>
    <mergeCell ref="F38:H38"/>
    <mergeCell ref="B17:D17"/>
    <mergeCell ref="F17:H17"/>
    <mergeCell ref="B31:D31"/>
    <mergeCell ref="F31:H31"/>
    <mergeCell ref="B29:D29"/>
    <mergeCell ref="F29:H29"/>
    <mergeCell ref="B30:D30"/>
    <mergeCell ref="F30:H30"/>
    <mergeCell ref="B33:D33"/>
    <mergeCell ref="B34:D34"/>
    <mergeCell ref="B23:D23"/>
    <mergeCell ref="F23:H23"/>
    <mergeCell ref="B11:D11"/>
    <mergeCell ref="F11:H11"/>
    <mergeCell ref="B28:D28"/>
    <mergeCell ref="F28:H28"/>
    <mergeCell ref="B12:D12"/>
    <mergeCell ref="F12:H12"/>
    <mergeCell ref="B13:D13"/>
    <mergeCell ref="F13:H13"/>
    <mergeCell ref="B27:D27"/>
    <mergeCell ref="F27:H27"/>
    <mergeCell ref="B19:D19"/>
    <mergeCell ref="B20:D20"/>
    <mergeCell ref="B21:D21"/>
    <mergeCell ref="B22:D22"/>
    <mergeCell ref="B18:D18"/>
    <mergeCell ref="P12:R12"/>
    <mergeCell ref="P13:R13"/>
    <mergeCell ref="B14:D14"/>
    <mergeCell ref="B15:D15"/>
    <mergeCell ref="F14:H14"/>
    <mergeCell ref="F15:H15"/>
    <mergeCell ref="C10:D10"/>
    <mergeCell ref="K12:M12"/>
    <mergeCell ref="K13:M13"/>
    <mergeCell ref="P11:R11"/>
    <mergeCell ref="B4:D4"/>
    <mergeCell ref="F4:H4"/>
    <mergeCell ref="C8:D8"/>
    <mergeCell ref="G8:H8"/>
    <mergeCell ref="K14:M14"/>
    <mergeCell ref="K15:M15"/>
    <mergeCell ref="K17:M17"/>
    <mergeCell ref="K30:M30"/>
    <mergeCell ref="C9:D9"/>
    <mergeCell ref="B6:D6"/>
    <mergeCell ref="F6:H6"/>
  </mergeCells>
  <pageMargins left="0.25" right="0.25" top="0.25" bottom="0.25" header="0.25" footer="0.3"/>
  <pageSetup paperSize="5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6E3B-532E-4453-9E99-DC918B155E62}">
  <dimension ref="A1:T27"/>
  <sheetViews>
    <sheetView workbookViewId="0">
      <selection activeCell="A4" sqref="A4"/>
    </sheetView>
  </sheetViews>
  <sheetFormatPr defaultRowHeight="14.5" x14ac:dyDescent="0.35"/>
  <cols>
    <col min="1" max="1" width="19.7265625" customWidth="1"/>
    <col min="2" max="7" width="4.7265625" customWidth="1"/>
    <col min="8" max="8" width="9.7265625" customWidth="1"/>
    <col min="9" max="11" width="4.7265625" customWidth="1"/>
    <col min="12" max="12" width="9.7265625" customWidth="1"/>
    <col min="13" max="15" width="4.7265625" customWidth="1"/>
    <col min="16" max="16" width="9.7265625" customWidth="1"/>
    <col min="17" max="19" width="4.7265625" customWidth="1"/>
    <col min="20" max="20" width="9.7265625" customWidth="1"/>
  </cols>
  <sheetData>
    <row r="1" spans="1:20" ht="16.5" customHeight="1" thickBot="1" x14ac:dyDescent="0.4">
      <c r="A1" s="127" t="s">
        <v>41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spans="1:20" ht="16.5" customHeight="1" thickTop="1" x14ac:dyDescent="0.35">
      <c r="A2" s="8" t="s">
        <v>39</v>
      </c>
      <c r="B2" s="100" t="s">
        <v>33</v>
      </c>
      <c r="C2" s="137"/>
      <c r="D2" s="138"/>
      <c r="E2" s="129" t="s">
        <v>73</v>
      </c>
      <c r="F2" s="130"/>
      <c r="G2" s="130"/>
      <c r="H2" s="131"/>
      <c r="I2" s="129" t="s">
        <v>74</v>
      </c>
      <c r="J2" s="130"/>
      <c r="K2" s="130"/>
      <c r="L2" s="131"/>
      <c r="M2" s="129" t="s">
        <v>75</v>
      </c>
      <c r="N2" s="130"/>
      <c r="O2" s="130"/>
      <c r="P2" s="131"/>
      <c r="Q2" s="129" t="s">
        <v>76</v>
      </c>
      <c r="R2" s="130"/>
      <c r="S2" s="130"/>
      <c r="T2" s="131"/>
    </row>
    <row r="3" spans="1:20" ht="16.5" customHeight="1" x14ac:dyDescent="0.35">
      <c r="A3" s="16" t="s">
        <v>34</v>
      </c>
      <c r="B3" s="132" t="str">
        <f>SubAddr</f>
        <v>839 Ferdinand Ave, Pacifica, CA 94044</v>
      </c>
      <c r="C3" s="133"/>
      <c r="D3" s="134"/>
      <c r="E3" s="135" t="s">
        <v>63</v>
      </c>
      <c r="F3" s="136"/>
      <c r="G3" s="136"/>
      <c r="H3" s="91"/>
      <c r="I3" s="135" t="s">
        <v>67</v>
      </c>
      <c r="J3" s="136"/>
      <c r="K3" s="136"/>
      <c r="L3" s="91"/>
      <c r="M3" s="135" t="s">
        <v>69</v>
      </c>
      <c r="N3" s="136"/>
      <c r="O3" s="136"/>
      <c r="P3" s="91"/>
      <c r="Q3" s="135" t="s">
        <v>45</v>
      </c>
      <c r="R3" s="136"/>
      <c r="S3" s="136"/>
      <c r="T3" s="91"/>
    </row>
    <row r="4" spans="1:20" ht="16.5" customHeight="1" x14ac:dyDescent="0.35">
      <c r="A4" s="16" t="s">
        <v>47</v>
      </c>
      <c r="B4" s="135" t="str">
        <f>SubjMLS</f>
        <v>047-133-160</v>
      </c>
      <c r="C4" s="136"/>
      <c r="D4" s="139"/>
      <c r="E4" s="135" t="s">
        <v>64</v>
      </c>
      <c r="F4" s="140"/>
      <c r="G4" s="140"/>
      <c r="H4" s="141"/>
      <c r="I4" s="135" t="s">
        <v>68</v>
      </c>
      <c r="J4" s="140"/>
      <c r="K4" s="140"/>
      <c r="L4" s="141"/>
      <c r="M4" s="135" t="s">
        <v>70</v>
      </c>
      <c r="N4" s="140"/>
      <c r="O4" s="140"/>
      <c r="P4" s="141"/>
      <c r="Q4" s="135" t="s">
        <v>48</v>
      </c>
      <c r="R4" s="140"/>
      <c r="S4" s="140"/>
      <c r="T4" s="141"/>
    </row>
    <row r="5" spans="1:20" ht="16.5" customHeight="1" x14ac:dyDescent="0.35">
      <c r="A5" s="16" t="s">
        <v>0</v>
      </c>
      <c r="B5" s="132" t="e">
        <f>SubjProx</f>
        <v>#REF!</v>
      </c>
      <c r="C5" s="133"/>
      <c r="D5" s="134"/>
      <c r="E5" s="135"/>
      <c r="F5" s="136"/>
      <c r="G5" s="136"/>
      <c r="H5" s="91"/>
      <c r="I5" s="135"/>
      <c r="J5" s="136"/>
      <c r="K5" s="136"/>
      <c r="L5" s="91"/>
      <c r="M5" s="135"/>
      <c r="N5" s="136"/>
      <c r="O5" s="136"/>
      <c r="P5" s="91"/>
      <c r="Q5" s="135"/>
      <c r="R5" s="136"/>
      <c r="S5" s="136"/>
      <c r="T5" s="91"/>
    </row>
    <row r="6" spans="1:20" ht="16.5" customHeight="1" x14ac:dyDescent="0.35">
      <c r="A6" s="17" t="s">
        <v>1</v>
      </c>
      <c r="B6" s="142" t="e">
        <f>SubjSaleP</f>
        <v>#REF!</v>
      </c>
      <c r="C6" s="143"/>
      <c r="D6" s="144"/>
      <c r="E6" s="145"/>
      <c r="F6" s="146"/>
      <c r="G6" s="147"/>
      <c r="H6" s="18">
        <v>950000</v>
      </c>
      <c r="I6" s="145"/>
      <c r="J6" s="146"/>
      <c r="K6" s="147"/>
      <c r="L6" s="18">
        <v>1075000</v>
      </c>
      <c r="M6" s="145"/>
      <c r="N6" s="146"/>
      <c r="O6" s="147"/>
      <c r="P6" s="18">
        <v>975000</v>
      </c>
      <c r="Q6" s="148"/>
      <c r="R6" s="149"/>
      <c r="S6" s="150"/>
      <c r="T6" s="18">
        <v>1270000</v>
      </c>
    </row>
    <row r="7" spans="1:20" ht="16.5" customHeight="1" x14ac:dyDescent="0.35">
      <c r="A7" s="19" t="s">
        <v>2</v>
      </c>
      <c r="B7" s="151" t="e">
        <f>SubjPricePer</f>
        <v>#REF!</v>
      </c>
      <c r="C7" s="152"/>
      <c r="D7" s="153"/>
      <c r="E7" s="154"/>
      <c r="F7" s="155"/>
      <c r="G7" s="156"/>
      <c r="H7" s="15">
        <v>439.81</v>
      </c>
      <c r="I7" s="154"/>
      <c r="J7" s="155"/>
      <c r="K7" s="156"/>
      <c r="L7" s="6">
        <v>509.48</v>
      </c>
      <c r="M7" s="157"/>
      <c r="N7" s="158"/>
      <c r="O7" s="159"/>
      <c r="P7" s="7">
        <v>590.91</v>
      </c>
      <c r="Q7" s="148"/>
      <c r="R7" s="149"/>
      <c r="S7" s="150"/>
      <c r="T7" s="7">
        <v>590.70000000000005</v>
      </c>
    </row>
    <row r="8" spans="1:20" ht="16.5" customHeight="1" x14ac:dyDescent="0.35">
      <c r="A8" s="16" t="s">
        <v>3</v>
      </c>
      <c r="B8" s="132" t="e">
        <f>SubjSalesConc</f>
        <v>#REF!</v>
      </c>
      <c r="C8" s="133"/>
      <c r="D8" s="134"/>
      <c r="E8" s="132" t="s">
        <v>27</v>
      </c>
      <c r="F8" s="133"/>
      <c r="G8" s="134"/>
      <c r="H8" s="14"/>
      <c r="I8" s="132" t="s">
        <v>27</v>
      </c>
      <c r="J8" s="133"/>
      <c r="K8" s="134"/>
      <c r="L8" s="14"/>
      <c r="M8" s="151" t="s">
        <v>27</v>
      </c>
      <c r="N8" s="152"/>
      <c r="O8" s="153"/>
      <c r="P8" s="14"/>
      <c r="Q8" s="132" t="s">
        <v>27</v>
      </c>
      <c r="R8" s="133"/>
      <c r="S8" s="134"/>
      <c r="T8" s="14"/>
    </row>
    <row r="9" spans="1:20" ht="16.5" customHeight="1" x14ac:dyDescent="0.35">
      <c r="A9" s="16" t="s">
        <v>4</v>
      </c>
      <c r="B9" s="160">
        <f>SubjSaleDate</f>
        <v>43111</v>
      </c>
      <c r="C9" s="133"/>
      <c r="D9" s="134"/>
      <c r="E9" s="160">
        <v>42907</v>
      </c>
      <c r="F9" s="161"/>
      <c r="G9" s="162"/>
      <c r="H9" s="14">
        <v>100914</v>
      </c>
      <c r="I9" s="160">
        <v>43075</v>
      </c>
      <c r="J9" s="161"/>
      <c r="K9" s="162"/>
      <c r="L9" s="14"/>
      <c r="M9" s="160">
        <v>43042</v>
      </c>
      <c r="N9" s="161"/>
      <c r="O9" s="162"/>
      <c r="P9" s="14"/>
      <c r="Q9" s="160">
        <v>42876</v>
      </c>
      <c r="R9" s="161"/>
      <c r="S9" s="162"/>
      <c r="T9" s="14">
        <v>9101</v>
      </c>
    </row>
    <row r="10" spans="1:20" ht="16.5" customHeight="1" x14ac:dyDescent="0.35">
      <c r="A10" s="16" t="s">
        <v>60</v>
      </c>
      <c r="B10" s="132" t="s">
        <v>61</v>
      </c>
      <c r="C10" s="133"/>
      <c r="D10" s="134"/>
      <c r="E10" s="132" t="s">
        <v>61</v>
      </c>
      <c r="F10" s="133"/>
      <c r="G10" s="134"/>
      <c r="H10" s="14"/>
      <c r="I10" s="132" t="s">
        <v>61</v>
      </c>
      <c r="J10" s="133"/>
      <c r="K10" s="134"/>
      <c r="L10" s="14"/>
      <c r="M10" s="132" t="s">
        <v>61</v>
      </c>
      <c r="N10" s="133"/>
      <c r="O10" s="134"/>
      <c r="P10" s="14"/>
      <c r="Q10" s="132" t="s">
        <v>61</v>
      </c>
      <c r="R10" s="133"/>
      <c r="S10" s="134"/>
      <c r="T10" s="14"/>
    </row>
    <row r="11" spans="1:20" ht="16.5" customHeight="1" x14ac:dyDescent="0.35">
      <c r="A11" s="16" t="s">
        <v>6</v>
      </c>
      <c r="B11" s="132">
        <f>SubjLoc</f>
        <v>-122.123456</v>
      </c>
      <c r="C11" s="133"/>
      <c r="D11" s="134"/>
      <c r="E11" s="132" t="s">
        <v>57</v>
      </c>
      <c r="F11" s="133"/>
      <c r="G11" s="134"/>
      <c r="H11" s="14"/>
      <c r="I11" s="132" t="s">
        <v>50</v>
      </c>
      <c r="J11" s="133"/>
      <c r="K11" s="134"/>
      <c r="L11" s="14"/>
      <c r="M11" s="132" t="s">
        <v>50</v>
      </c>
      <c r="N11" s="133"/>
      <c r="O11" s="134"/>
      <c r="P11" s="14"/>
      <c r="Q11" s="132" t="s">
        <v>57</v>
      </c>
      <c r="R11" s="133"/>
      <c r="S11" s="134"/>
      <c r="T11" s="14"/>
    </row>
    <row r="12" spans="1:20" ht="16.5" customHeight="1" x14ac:dyDescent="0.35">
      <c r="A12" s="16" t="s">
        <v>7</v>
      </c>
      <c r="B12" s="132" t="str">
        <f>SubLotSz</f>
        <v>888,888 sf</v>
      </c>
      <c r="C12" s="133"/>
      <c r="D12" s="134"/>
      <c r="E12" s="132">
        <v>6000</v>
      </c>
      <c r="F12" s="133"/>
      <c r="G12" s="134"/>
      <c r="H12" s="14"/>
      <c r="I12" s="132">
        <v>6000</v>
      </c>
      <c r="J12" s="133"/>
      <c r="K12" s="134"/>
      <c r="L12" s="14"/>
      <c r="M12" s="132">
        <v>6250</v>
      </c>
      <c r="N12" s="133"/>
      <c r="O12" s="134"/>
      <c r="P12" s="14"/>
      <c r="Q12" s="132">
        <v>4950</v>
      </c>
      <c r="R12" s="133"/>
      <c r="S12" s="134"/>
      <c r="T12" s="14"/>
    </row>
    <row r="13" spans="1:20" ht="16.5" customHeight="1" x14ac:dyDescent="0.35">
      <c r="A13" s="16" t="s">
        <v>32</v>
      </c>
      <c r="B13" s="132" t="s">
        <v>79</v>
      </c>
      <c r="C13" s="163"/>
      <c r="D13" s="164"/>
      <c r="E13" s="132" t="s">
        <v>65</v>
      </c>
      <c r="F13" s="163"/>
      <c r="G13" s="164"/>
      <c r="H13" s="14">
        <v>-84256</v>
      </c>
      <c r="I13" s="132" t="s">
        <v>65</v>
      </c>
      <c r="J13" s="163"/>
      <c r="K13" s="164"/>
      <c r="L13" s="14">
        <v>-84256</v>
      </c>
      <c r="M13" s="132" t="s">
        <v>51</v>
      </c>
      <c r="N13" s="163"/>
      <c r="O13" s="164"/>
      <c r="P13" s="14"/>
      <c r="Q13" s="132" t="s">
        <v>51</v>
      </c>
      <c r="R13" s="163"/>
      <c r="S13" s="164"/>
      <c r="T13" s="14"/>
    </row>
    <row r="14" spans="1:20" ht="16.5" customHeight="1" x14ac:dyDescent="0.35">
      <c r="A14" s="16" t="s">
        <v>8</v>
      </c>
      <c r="B14" s="132">
        <f>SubjQual</f>
        <v>4.5</v>
      </c>
      <c r="C14" s="133"/>
      <c r="D14" s="134"/>
      <c r="E14" s="132" t="s">
        <v>62</v>
      </c>
      <c r="F14" s="133"/>
      <c r="G14" s="134"/>
      <c r="H14" s="14">
        <v>118533</v>
      </c>
      <c r="I14" s="132" t="s">
        <v>52</v>
      </c>
      <c r="J14" s="133"/>
      <c r="K14" s="134"/>
      <c r="L14" s="14">
        <f>0.33*118533</f>
        <v>39115.89</v>
      </c>
      <c r="M14" s="132" t="s">
        <v>71</v>
      </c>
      <c r="N14" s="133"/>
      <c r="O14" s="134"/>
      <c r="P14" s="14">
        <f>0.67*16053</f>
        <v>10755.51</v>
      </c>
      <c r="Q14" s="132" t="s">
        <v>77</v>
      </c>
      <c r="R14" s="133"/>
      <c r="S14" s="134"/>
      <c r="T14" s="14">
        <v>-13504</v>
      </c>
    </row>
    <row r="15" spans="1:20" ht="16.5" customHeight="1" x14ac:dyDescent="0.35">
      <c r="A15" s="16" t="s">
        <v>9</v>
      </c>
      <c r="B15" s="132">
        <f>SubjAge</f>
        <v>32</v>
      </c>
      <c r="C15" s="133"/>
      <c r="D15" s="134"/>
      <c r="E15" s="132">
        <v>50</v>
      </c>
      <c r="F15" s="133"/>
      <c r="G15" s="134"/>
      <c r="H15" s="14"/>
      <c r="I15" s="132">
        <v>51</v>
      </c>
      <c r="J15" s="133"/>
      <c r="K15" s="134"/>
      <c r="L15" s="14"/>
      <c r="M15" s="132">
        <v>52</v>
      </c>
      <c r="N15" s="133"/>
      <c r="O15" s="134"/>
      <c r="P15" s="14"/>
      <c r="Q15" s="132">
        <v>10</v>
      </c>
      <c r="R15" s="133"/>
      <c r="S15" s="134"/>
      <c r="T15" s="14">
        <v>-157351</v>
      </c>
    </row>
    <row r="16" spans="1:20" ht="16.5" customHeight="1" x14ac:dyDescent="0.35">
      <c r="A16" s="16" t="s">
        <v>10</v>
      </c>
      <c r="B16" s="132" t="e">
        <f>SubjEffAge</f>
        <v>#REF!</v>
      </c>
      <c r="C16" s="133"/>
      <c r="D16" s="134"/>
      <c r="E16" s="132">
        <v>20</v>
      </c>
      <c r="F16" s="133"/>
      <c r="G16" s="134"/>
      <c r="H16" s="14"/>
      <c r="I16" s="132">
        <v>25</v>
      </c>
      <c r="J16" s="133"/>
      <c r="K16" s="134"/>
      <c r="L16" s="14"/>
      <c r="M16" s="132">
        <v>25</v>
      </c>
      <c r="N16" s="133"/>
      <c r="O16" s="134"/>
      <c r="P16" s="14">
        <f>0.33*16053</f>
        <v>5297.4900000000007</v>
      </c>
      <c r="Q16" s="132">
        <v>3</v>
      </c>
      <c r="R16" s="133"/>
      <c r="S16" s="134"/>
      <c r="T16" s="14"/>
    </row>
    <row r="17" spans="1:20" ht="16.5" customHeight="1" x14ac:dyDescent="0.35">
      <c r="A17" s="16" t="s">
        <v>11</v>
      </c>
      <c r="B17" s="132">
        <f>SubjCond</f>
        <v>4</v>
      </c>
      <c r="C17" s="133"/>
      <c r="D17" s="134"/>
      <c r="E17" s="132" t="s">
        <v>66</v>
      </c>
      <c r="F17" s="133"/>
      <c r="G17" s="134"/>
      <c r="H17" s="14">
        <v>0</v>
      </c>
      <c r="I17" s="132" t="s">
        <v>62</v>
      </c>
      <c r="J17" s="133"/>
      <c r="K17" s="134"/>
      <c r="L17" s="14">
        <f>0.67*118533</f>
        <v>79417.11</v>
      </c>
      <c r="M17" s="132" t="s">
        <v>71</v>
      </c>
      <c r="N17" s="133"/>
      <c r="O17" s="134"/>
      <c r="P17" s="14"/>
      <c r="Q17" s="132" t="s">
        <v>78</v>
      </c>
      <c r="R17" s="133"/>
      <c r="S17" s="134"/>
      <c r="T17" s="14"/>
    </row>
    <row r="18" spans="1:20" ht="16.5" customHeight="1" x14ac:dyDescent="0.35">
      <c r="A18" s="165" t="s">
        <v>12</v>
      </c>
      <c r="B18" s="20" t="s">
        <v>13</v>
      </c>
      <c r="C18" s="20" t="s">
        <v>14</v>
      </c>
      <c r="D18" s="20" t="s">
        <v>15</v>
      </c>
      <c r="E18" s="20" t="s">
        <v>13</v>
      </c>
      <c r="F18" s="20" t="s">
        <v>14</v>
      </c>
      <c r="G18" s="20" t="s">
        <v>15</v>
      </c>
      <c r="H18" s="168">
        <v>-37198</v>
      </c>
      <c r="I18" s="20" t="s">
        <v>13</v>
      </c>
      <c r="J18" s="20" t="s">
        <v>14</v>
      </c>
      <c r="K18" s="20" t="s">
        <v>15</v>
      </c>
      <c r="L18" s="168">
        <v>-26865</v>
      </c>
      <c r="M18" s="20" t="s">
        <v>13</v>
      </c>
      <c r="N18" s="20" t="s">
        <v>14</v>
      </c>
      <c r="O18" s="20" t="s">
        <v>15</v>
      </c>
      <c r="P18" s="168">
        <v>68196</v>
      </c>
      <c r="Q18" s="20" t="s">
        <v>13</v>
      </c>
      <c r="R18" s="20" t="s">
        <v>14</v>
      </c>
      <c r="S18" s="20" t="s">
        <v>15</v>
      </c>
      <c r="T18" s="168">
        <v>-35131</v>
      </c>
    </row>
    <row r="19" spans="1:20" ht="16.5" customHeight="1" x14ac:dyDescent="0.35">
      <c r="A19" s="166"/>
      <c r="B19" s="21">
        <v>7</v>
      </c>
      <c r="C19" s="21" t="e">
        <f>SubjBed</f>
        <v>#REF!</v>
      </c>
      <c r="D19" s="21" t="e">
        <f>SubjBath</f>
        <v>#REF!</v>
      </c>
      <c r="E19" s="21">
        <v>6</v>
      </c>
      <c r="F19" s="21">
        <v>3</v>
      </c>
      <c r="G19" s="21">
        <v>2</v>
      </c>
      <c r="H19" s="169"/>
      <c r="I19" s="21">
        <v>7</v>
      </c>
      <c r="J19" s="21">
        <v>3</v>
      </c>
      <c r="K19" s="21">
        <v>2</v>
      </c>
      <c r="L19" s="169"/>
      <c r="M19" s="21">
        <v>7</v>
      </c>
      <c r="N19" s="21">
        <v>3</v>
      </c>
      <c r="O19" s="21">
        <v>2</v>
      </c>
      <c r="P19" s="169"/>
      <c r="Q19" s="21">
        <v>10</v>
      </c>
      <c r="R19" s="21">
        <v>4</v>
      </c>
      <c r="S19" s="22">
        <v>3</v>
      </c>
      <c r="T19" s="169"/>
    </row>
    <row r="20" spans="1:20" ht="16.5" customHeight="1" x14ac:dyDescent="0.35">
      <c r="A20" s="167"/>
      <c r="B20" s="171" t="e">
        <f>SubjGLA</f>
        <v>#REF!</v>
      </c>
      <c r="C20" s="172"/>
      <c r="D20" s="173"/>
      <c r="E20" s="171">
        <v>2160</v>
      </c>
      <c r="F20" s="172"/>
      <c r="G20" s="173"/>
      <c r="H20" s="170"/>
      <c r="I20" s="171">
        <v>2110</v>
      </c>
      <c r="J20" s="172"/>
      <c r="K20" s="173"/>
      <c r="L20" s="170"/>
      <c r="M20" s="171">
        <v>1650</v>
      </c>
      <c r="N20" s="172"/>
      <c r="O20" s="173"/>
      <c r="P20" s="170"/>
      <c r="Q20" s="171">
        <v>2150</v>
      </c>
      <c r="R20" s="172"/>
      <c r="S20" s="173"/>
      <c r="T20" s="170"/>
    </row>
    <row r="21" spans="1:20" ht="16.5" customHeight="1" x14ac:dyDescent="0.35">
      <c r="A21" s="16" t="s">
        <v>16</v>
      </c>
      <c r="B21" s="132" t="str">
        <f>SubFunc</f>
        <v>Average</v>
      </c>
      <c r="C21" s="133"/>
      <c r="D21" s="134"/>
      <c r="E21" s="132" t="s">
        <v>53</v>
      </c>
      <c r="F21" s="133"/>
      <c r="G21" s="134"/>
      <c r="H21" s="14"/>
      <c r="I21" s="132" t="s">
        <v>53</v>
      </c>
      <c r="J21" s="133"/>
      <c r="K21" s="134"/>
      <c r="L21" s="14"/>
      <c r="M21" s="132" t="s">
        <v>53</v>
      </c>
      <c r="N21" s="133"/>
      <c r="O21" s="134"/>
      <c r="P21" s="14"/>
      <c r="Q21" s="132" t="s">
        <v>53</v>
      </c>
      <c r="R21" s="133"/>
      <c r="S21" s="134"/>
      <c r="T21" s="14"/>
    </row>
    <row r="22" spans="1:20" ht="16.5" customHeight="1" x14ac:dyDescent="0.35">
      <c r="A22" s="16" t="s">
        <v>44</v>
      </c>
      <c r="B22" s="174" t="str">
        <f>SubjHeatAC</f>
        <v>Central F/A</v>
      </c>
      <c r="C22" s="175"/>
      <c r="D22" s="176"/>
      <c r="E22" s="174" t="s">
        <v>17</v>
      </c>
      <c r="F22" s="175"/>
      <c r="G22" s="176"/>
      <c r="H22" s="14"/>
      <c r="I22" s="174" t="s">
        <v>17</v>
      </c>
      <c r="J22" s="175"/>
      <c r="K22" s="176"/>
      <c r="L22" s="14"/>
      <c r="M22" s="174" t="s">
        <v>72</v>
      </c>
      <c r="N22" s="175"/>
      <c r="O22" s="176"/>
      <c r="P22" s="14"/>
      <c r="Q22" s="174" t="s">
        <v>17</v>
      </c>
      <c r="R22" s="175"/>
      <c r="S22" s="176"/>
      <c r="T22" s="14"/>
    </row>
    <row r="23" spans="1:20" ht="16.5" customHeight="1" x14ac:dyDescent="0.35">
      <c r="A23" s="16" t="s">
        <v>18</v>
      </c>
      <c r="B23" s="174" t="str">
        <f>SubjGar</f>
        <v>2 car garage att</v>
      </c>
      <c r="C23" s="175"/>
      <c r="D23" s="176"/>
      <c r="E23" s="174" t="s">
        <v>19</v>
      </c>
      <c r="F23" s="175"/>
      <c r="G23" s="176"/>
      <c r="H23" s="14"/>
      <c r="I23" s="174" t="s">
        <v>58</v>
      </c>
      <c r="J23" s="175"/>
      <c r="K23" s="176"/>
      <c r="L23" s="14"/>
      <c r="M23" s="174" t="s">
        <v>19</v>
      </c>
      <c r="N23" s="175"/>
      <c r="O23" s="176"/>
      <c r="P23" s="14"/>
      <c r="Q23" s="174" t="s">
        <v>58</v>
      </c>
      <c r="R23" s="175"/>
      <c r="S23" s="176"/>
      <c r="T23" s="14"/>
    </row>
    <row r="24" spans="1:20" ht="16.5" customHeight="1" x14ac:dyDescent="0.35">
      <c r="A24" s="16" t="s">
        <v>21</v>
      </c>
      <c r="B24" s="174" t="str">
        <f>SubjPorch</f>
        <v>Screen Porch</v>
      </c>
      <c r="C24" s="175"/>
      <c r="D24" s="176"/>
      <c r="E24" s="174" t="s">
        <v>23</v>
      </c>
      <c r="F24" s="175"/>
      <c r="G24" s="176"/>
      <c r="H24" s="14"/>
      <c r="I24" s="174" t="s">
        <v>24</v>
      </c>
      <c r="J24" s="175"/>
      <c r="K24" s="176"/>
      <c r="L24" s="14"/>
      <c r="M24" s="174" t="s">
        <v>23</v>
      </c>
      <c r="N24" s="175"/>
      <c r="O24" s="176"/>
      <c r="P24" s="14"/>
      <c r="Q24" s="174" t="s">
        <v>25</v>
      </c>
      <c r="R24" s="175"/>
      <c r="S24" s="176"/>
      <c r="T24" s="14"/>
    </row>
    <row r="25" spans="1:20" ht="16.5" customHeight="1" x14ac:dyDescent="0.35">
      <c r="A25" s="16" t="s">
        <v>26</v>
      </c>
      <c r="B25" s="174" t="str">
        <f>SubjOther</f>
        <v>Solar</v>
      </c>
      <c r="C25" s="175"/>
      <c r="D25" s="176"/>
      <c r="E25" s="174" t="s">
        <v>28</v>
      </c>
      <c r="F25" s="175"/>
      <c r="G25" s="176"/>
      <c r="H25" s="14"/>
      <c r="I25" s="174" t="s">
        <v>27</v>
      </c>
      <c r="J25" s="175"/>
      <c r="K25" s="176"/>
      <c r="L25" s="14"/>
      <c r="M25" s="174" t="s">
        <v>27</v>
      </c>
      <c r="N25" s="175"/>
      <c r="O25" s="176"/>
      <c r="P25" s="14"/>
      <c r="Q25" s="174" t="s">
        <v>27</v>
      </c>
      <c r="R25" s="175"/>
      <c r="S25" s="176"/>
      <c r="T25" s="14"/>
    </row>
    <row r="26" spans="1:20" ht="16.5" customHeight="1" x14ac:dyDescent="0.35">
      <c r="A26" s="16" t="s">
        <v>30</v>
      </c>
      <c r="B26" s="148"/>
      <c r="C26" s="149"/>
      <c r="D26" s="150"/>
      <c r="E26" s="174"/>
      <c r="F26" s="175"/>
      <c r="G26" s="176"/>
      <c r="H26" s="14">
        <f>SUM(H8:H25)</f>
        <v>97993</v>
      </c>
      <c r="I26" s="174"/>
      <c r="J26" s="175"/>
      <c r="K26" s="176"/>
      <c r="L26" s="14">
        <f>SUM(L8:L25)</f>
        <v>7412</v>
      </c>
      <c r="M26" s="174"/>
      <c r="N26" s="175"/>
      <c r="O26" s="176"/>
      <c r="P26" s="14">
        <f>SUM(P8:P25)</f>
        <v>84249</v>
      </c>
      <c r="Q26" s="174"/>
      <c r="R26" s="175"/>
      <c r="S26" s="176"/>
      <c r="T26" s="14">
        <f>SUM(T8:T25)</f>
        <v>-196885</v>
      </c>
    </row>
    <row r="27" spans="1:20" ht="16.5" customHeight="1" x14ac:dyDescent="0.35">
      <c r="A27" s="16" t="s">
        <v>31</v>
      </c>
      <c r="B27" s="148"/>
      <c r="C27" s="149"/>
      <c r="D27" s="150"/>
      <c r="E27" s="148"/>
      <c r="F27" s="149"/>
      <c r="G27" s="150"/>
      <c r="H27" s="14">
        <f>H6+H26</f>
        <v>1047993</v>
      </c>
      <c r="I27" s="148"/>
      <c r="J27" s="149"/>
      <c r="K27" s="150"/>
      <c r="L27" s="14">
        <f>L6+L26</f>
        <v>1082412</v>
      </c>
      <c r="M27" s="148"/>
      <c r="N27" s="149"/>
      <c r="O27" s="150"/>
      <c r="P27" s="14">
        <f>P6+P26</f>
        <v>1059249</v>
      </c>
      <c r="Q27" s="148"/>
      <c r="R27" s="149"/>
      <c r="S27" s="150"/>
      <c r="T27" s="14">
        <f>T6+T26</f>
        <v>1073115</v>
      </c>
    </row>
  </sheetData>
  <mergeCells count="126">
    <mergeCell ref="B27:D27"/>
    <mergeCell ref="E27:G27"/>
    <mergeCell ref="I27:K27"/>
    <mergeCell ref="M27:O27"/>
    <mergeCell ref="Q27:S27"/>
    <mergeCell ref="B25:D25"/>
    <mergeCell ref="E25:G25"/>
    <mergeCell ref="I25:K25"/>
    <mergeCell ref="M25:O25"/>
    <mergeCell ref="Q25:S25"/>
    <mergeCell ref="B26:D26"/>
    <mergeCell ref="E26:G26"/>
    <mergeCell ref="I26:K26"/>
    <mergeCell ref="M26:O26"/>
    <mergeCell ref="Q26:S26"/>
    <mergeCell ref="B23:D23"/>
    <mergeCell ref="E23:G23"/>
    <mergeCell ref="I23:K23"/>
    <mergeCell ref="M23:O23"/>
    <mergeCell ref="Q23:S23"/>
    <mergeCell ref="B24:D24"/>
    <mergeCell ref="E24:G24"/>
    <mergeCell ref="I24:K24"/>
    <mergeCell ref="M24:O24"/>
    <mergeCell ref="Q24:S24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A18:A20"/>
    <mergeCell ref="H18:H20"/>
    <mergeCell ref="L18:L20"/>
    <mergeCell ref="T18:T20"/>
    <mergeCell ref="B20:D20"/>
    <mergeCell ref="E20:G20"/>
    <mergeCell ref="I20:K20"/>
    <mergeCell ref="M20:O20"/>
    <mergeCell ref="Q20:S20"/>
    <mergeCell ref="P18:P20"/>
    <mergeCell ref="B16:D16"/>
    <mergeCell ref="E16:G16"/>
    <mergeCell ref="I16:K16"/>
    <mergeCell ref="M16:O16"/>
    <mergeCell ref="Q16:S16"/>
    <mergeCell ref="B17:D17"/>
    <mergeCell ref="E17:G17"/>
    <mergeCell ref="I17:K17"/>
    <mergeCell ref="M17:O17"/>
    <mergeCell ref="Q17:S17"/>
    <mergeCell ref="B14:D14"/>
    <mergeCell ref="E14:G14"/>
    <mergeCell ref="I14:K14"/>
    <mergeCell ref="M14:O14"/>
    <mergeCell ref="Q14:S14"/>
    <mergeCell ref="B15:D15"/>
    <mergeCell ref="E15:G15"/>
    <mergeCell ref="I15:K15"/>
    <mergeCell ref="M15:O15"/>
    <mergeCell ref="Q15:S15"/>
    <mergeCell ref="B12:D12"/>
    <mergeCell ref="E12:G12"/>
    <mergeCell ref="I12:K12"/>
    <mergeCell ref="M12:O12"/>
    <mergeCell ref="Q12:S12"/>
    <mergeCell ref="B13:D13"/>
    <mergeCell ref="E13:G13"/>
    <mergeCell ref="I13:K13"/>
    <mergeCell ref="M13:O13"/>
    <mergeCell ref="Q13:S13"/>
    <mergeCell ref="B10:D10"/>
    <mergeCell ref="E10:G10"/>
    <mergeCell ref="I10:K10"/>
    <mergeCell ref="M10:O10"/>
    <mergeCell ref="Q10:S10"/>
    <mergeCell ref="B11:D11"/>
    <mergeCell ref="E11:G11"/>
    <mergeCell ref="I11:K11"/>
    <mergeCell ref="M11:O11"/>
    <mergeCell ref="Q11:S11"/>
    <mergeCell ref="B8:D8"/>
    <mergeCell ref="E8:G8"/>
    <mergeCell ref="I8:K8"/>
    <mergeCell ref="M8:O8"/>
    <mergeCell ref="Q8:S8"/>
    <mergeCell ref="B9:D9"/>
    <mergeCell ref="E9:G9"/>
    <mergeCell ref="I9:K9"/>
    <mergeCell ref="M9:O9"/>
    <mergeCell ref="Q9:S9"/>
    <mergeCell ref="B6:D6"/>
    <mergeCell ref="E6:G6"/>
    <mergeCell ref="I6:K6"/>
    <mergeCell ref="M6:O6"/>
    <mergeCell ref="Q6:S6"/>
    <mergeCell ref="B7:D7"/>
    <mergeCell ref="E7:G7"/>
    <mergeCell ref="I7:K7"/>
    <mergeCell ref="M7:O7"/>
    <mergeCell ref="Q7:S7"/>
    <mergeCell ref="B4:D4"/>
    <mergeCell ref="E4:H4"/>
    <mergeCell ref="I4:L4"/>
    <mergeCell ref="M4:P4"/>
    <mergeCell ref="Q4:T4"/>
    <mergeCell ref="B5:D5"/>
    <mergeCell ref="E5:H5"/>
    <mergeCell ref="I5:L5"/>
    <mergeCell ref="M5:P5"/>
    <mergeCell ref="Q5:T5"/>
    <mergeCell ref="A1:T1"/>
    <mergeCell ref="E2:H2"/>
    <mergeCell ref="I2:L2"/>
    <mergeCell ref="M2:P2"/>
    <mergeCell ref="Q2:T2"/>
    <mergeCell ref="B3:D3"/>
    <mergeCell ref="E3:H3"/>
    <mergeCell ref="I3:L3"/>
    <mergeCell ref="M3:P3"/>
    <mergeCell ref="Q3:T3"/>
    <mergeCell ref="B2:D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95CC-F21D-4FF6-92FA-A9A63719CE5B}">
  <dimension ref="B2:U28"/>
  <sheetViews>
    <sheetView workbookViewId="0">
      <selection activeCell="I23" sqref="I23"/>
    </sheetView>
  </sheetViews>
  <sheetFormatPr defaultRowHeight="14.5" x14ac:dyDescent="0.35"/>
  <cols>
    <col min="2" max="2" width="16.7265625" customWidth="1"/>
    <col min="3" max="8" width="4.7265625" customWidth="1"/>
    <col min="9" max="9" width="9.7265625" customWidth="1"/>
    <col min="10" max="12" width="4.7265625" customWidth="1"/>
    <col min="13" max="13" width="9.7265625" customWidth="1"/>
    <col min="14" max="16" width="4.7265625" customWidth="1"/>
    <col min="17" max="17" width="9.7265625" customWidth="1"/>
    <col min="18" max="20" width="4.7265625" customWidth="1"/>
    <col min="21" max="21" width="9.7265625" customWidth="1"/>
  </cols>
  <sheetData>
    <row r="2" spans="2:21" ht="15" thickBot="1" x14ac:dyDescent="0.4">
      <c r="B2" s="127" t="s">
        <v>49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2:21" ht="15" thickTop="1" x14ac:dyDescent="0.35">
      <c r="B3" s="8" t="s">
        <v>39</v>
      </c>
      <c r="C3" s="100" t="s">
        <v>33</v>
      </c>
      <c r="D3" s="137"/>
      <c r="E3" s="138"/>
      <c r="F3" s="129" t="s">
        <v>35</v>
      </c>
      <c r="G3" s="130"/>
      <c r="H3" s="130"/>
      <c r="I3" s="131"/>
      <c r="J3" s="129" t="s">
        <v>36</v>
      </c>
      <c r="K3" s="130"/>
      <c r="L3" s="130"/>
      <c r="M3" s="131"/>
      <c r="N3" s="129" t="s">
        <v>37</v>
      </c>
      <c r="O3" s="130"/>
      <c r="P3" s="130"/>
      <c r="Q3" s="131"/>
      <c r="R3" s="129" t="s">
        <v>38</v>
      </c>
      <c r="S3" s="130"/>
      <c r="T3" s="130"/>
      <c r="U3" s="131"/>
    </row>
    <row r="4" spans="2:21" x14ac:dyDescent="0.35">
      <c r="B4" s="9" t="s">
        <v>34</v>
      </c>
      <c r="C4" s="132" t="str">
        <f>SubAddr</f>
        <v>839 Ferdinand Ave, Pacifica, CA 94044</v>
      </c>
      <c r="D4" s="133"/>
      <c r="E4" s="134"/>
      <c r="F4" s="135" t="s">
        <v>42</v>
      </c>
      <c r="G4" s="136"/>
      <c r="H4" s="136"/>
      <c r="I4" s="91"/>
      <c r="J4" s="135" t="s">
        <v>42</v>
      </c>
      <c r="K4" s="136"/>
      <c r="L4" s="136"/>
      <c r="M4" s="91"/>
      <c r="N4" s="135" t="s">
        <v>42</v>
      </c>
      <c r="O4" s="136"/>
      <c r="P4" s="136"/>
      <c r="Q4" s="91"/>
      <c r="R4" s="135" t="s">
        <v>42</v>
      </c>
      <c r="S4" s="136"/>
      <c r="T4" s="136"/>
      <c r="U4" s="91"/>
    </row>
    <row r="5" spans="2:21" x14ac:dyDescent="0.35">
      <c r="B5" s="9" t="s">
        <v>47</v>
      </c>
      <c r="C5" s="135" t="str">
        <f>SubjMLS</f>
        <v>047-133-160</v>
      </c>
      <c r="D5" s="136"/>
      <c r="E5" s="139"/>
      <c r="F5" s="135" t="s">
        <v>42</v>
      </c>
      <c r="G5" s="140"/>
      <c r="H5" s="140"/>
      <c r="I5" s="141"/>
      <c r="J5" s="135" t="s">
        <v>42</v>
      </c>
      <c r="K5" s="140"/>
      <c r="L5" s="140"/>
      <c r="M5" s="141"/>
      <c r="N5" s="135" t="s">
        <v>42</v>
      </c>
      <c r="O5" s="140"/>
      <c r="P5" s="140"/>
      <c r="Q5" s="141"/>
      <c r="R5" s="135" t="s">
        <v>42</v>
      </c>
      <c r="S5" s="140"/>
      <c r="T5" s="140"/>
      <c r="U5" s="141"/>
    </row>
    <row r="6" spans="2:21" x14ac:dyDescent="0.35">
      <c r="B6" s="9" t="s">
        <v>0</v>
      </c>
      <c r="C6" s="132" t="e">
        <f>SubjProx</f>
        <v>#REF!</v>
      </c>
      <c r="D6" s="133"/>
      <c r="E6" s="134"/>
      <c r="F6" s="135"/>
      <c r="G6" s="136"/>
      <c r="H6" s="136"/>
      <c r="I6" s="91"/>
      <c r="J6" s="135"/>
      <c r="K6" s="136"/>
      <c r="L6" s="136"/>
      <c r="M6" s="91"/>
      <c r="N6" s="135"/>
      <c r="O6" s="136"/>
      <c r="P6" s="136"/>
      <c r="Q6" s="91"/>
      <c r="R6" s="135"/>
      <c r="S6" s="136"/>
      <c r="T6" s="136"/>
      <c r="U6" s="91"/>
    </row>
    <row r="7" spans="2:21" x14ac:dyDescent="0.35">
      <c r="B7" s="10" t="s">
        <v>1</v>
      </c>
      <c r="C7" s="177" t="e">
        <f>SubjSaleP</f>
        <v>#REF!</v>
      </c>
      <c r="D7" s="178"/>
      <c r="E7" s="179"/>
      <c r="F7" s="180"/>
      <c r="G7" s="181"/>
      <c r="H7" s="182"/>
      <c r="I7" s="12" t="s">
        <v>42</v>
      </c>
      <c r="J7" s="180"/>
      <c r="K7" s="181"/>
      <c r="L7" s="182"/>
      <c r="M7" s="12" t="s">
        <v>42</v>
      </c>
      <c r="N7" s="180"/>
      <c r="O7" s="181"/>
      <c r="P7" s="182"/>
      <c r="Q7" s="12" t="s">
        <v>42</v>
      </c>
      <c r="R7" s="183"/>
      <c r="S7" s="184"/>
      <c r="T7" s="185"/>
      <c r="U7" s="12" t="s">
        <v>42</v>
      </c>
    </row>
    <row r="8" spans="2:21" x14ac:dyDescent="0.35">
      <c r="B8" s="11" t="s">
        <v>2</v>
      </c>
      <c r="C8" s="186" t="e">
        <f>SubjPricePer</f>
        <v>#REF!</v>
      </c>
      <c r="D8" s="187"/>
      <c r="E8" s="188"/>
      <c r="F8" s="189"/>
      <c r="G8" s="190"/>
      <c r="H8" s="191"/>
      <c r="I8" s="6"/>
      <c r="J8" s="189"/>
      <c r="K8" s="190"/>
      <c r="L8" s="191"/>
      <c r="M8" s="4"/>
      <c r="N8" s="192"/>
      <c r="O8" s="193"/>
      <c r="P8" s="194"/>
      <c r="Q8" s="5"/>
      <c r="R8" s="183"/>
      <c r="S8" s="184"/>
      <c r="T8" s="185"/>
      <c r="U8" s="5"/>
    </row>
    <row r="9" spans="2:21" x14ac:dyDescent="0.35">
      <c r="B9" s="9" t="s">
        <v>3</v>
      </c>
      <c r="C9" s="132" t="e">
        <f>SubjSalesConc</f>
        <v>#REF!</v>
      </c>
      <c r="D9" s="133"/>
      <c r="E9" s="134"/>
      <c r="F9" s="132"/>
      <c r="G9" s="133"/>
      <c r="H9" s="134"/>
      <c r="I9" s="7"/>
      <c r="J9" s="132"/>
      <c r="K9" s="133"/>
      <c r="L9" s="134"/>
      <c r="M9" s="5"/>
      <c r="N9" s="151"/>
      <c r="O9" s="152"/>
      <c r="P9" s="153"/>
      <c r="Q9" s="7"/>
      <c r="R9" s="132"/>
      <c r="S9" s="133"/>
      <c r="T9" s="134"/>
      <c r="U9" s="7"/>
    </row>
    <row r="10" spans="2:21" x14ac:dyDescent="0.35">
      <c r="B10" s="9" t="s">
        <v>4</v>
      </c>
      <c r="C10" s="195">
        <f>SubjSaleDate</f>
        <v>43111</v>
      </c>
      <c r="D10" s="196"/>
      <c r="E10" s="197"/>
      <c r="F10" s="195" t="s">
        <v>42</v>
      </c>
      <c r="G10" s="198"/>
      <c r="H10" s="199"/>
      <c r="I10" s="7"/>
      <c r="J10" s="195" t="s">
        <v>42</v>
      </c>
      <c r="K10" s="198"/>
      <c r="L10" s="199"/>
      <c r="M10" s="5"/>
      <c r="N10" s="195" t="s">
        <v>42</v>
      </c>
      <c r="O10" s="198"/>
      <c r="P10" s="199"/>
      <c r="Q10" s="5"/>
      <c r="R10" s="195" t="s">
        <v>42</v>
      </c>
      <c r="S10" s="198"/>
      <c r="T10" s="199"/>
      <c r="U10" s="5"/>
    </row>
    <row r="11" spans="2:21" x14ac:dyDescent="0.35">
      <c r="B11" s="9" t="s">
        <v>5</v>
      </c>
      <c r="C11" s="200"/>
      <c r="D11" s="196"/>
      <c r="E11" s="197"/>
      <c r="F11" s="200"/>
      <c r="G11" s="196"/>
      <c r="H11" s="197"/>
      <c r="I11" s="7"/>
      <c r="J11" s="200"/>
      <c r="K11" s="196"/>
      <c r="L11" s="197"/>
      <c r="M11" s="5"/>
      <c r="N11" s="200"/>
      <c r="O11" s="196"/>
      <c r="P11" s="197"/>
      <c r="Q11" s="5"/>
      <c r="R11" s="200"/>
      <c r="S11" s="196"/>
      <c r="T11" s="197"/>
      <c r="U11" s="5"/>
    </row>
    <row r="12" spans="2:21" x14ac:dyDescent="0.35">
      <c r="B12" s="9" t="s">
        <v>6</v>
      </c>
      <c r="C12" s="200">
        <f>SubjLoc</f>
        <v>-122.123456</v>
      </c>
      <c r="D12" s="196"/>
      <c r="E12" s="197"/>
      <c r="F12" s="200"/>
      <c r="G12" s="196"/>
      <c r="H12" s="197"/>
      <c r="I12" s="7"/>
      <c r="J12" s="200"/>
      <c r="K12" s="196"/>
      <c r="L12" s="197"/>
      <c r="M12" s="5"/>
      <c r="N12" s="200"/>
      <c r="O12" s="196"/>
      <c r="P12" s="197"/>
      <c r="Q12" s="5"/>
      <c r="R12" s="200"/>
      <c r="S12" s="196"/>
      <c r="T12" s="197"/>
      <c r="U12" s="5"/>
    </row>
    <row r="13" spans="2:21" x14ac:dyDescent="0.35">
      <c r="B13" s="9" t="s">
        <v>7</v>
      </c>
      <c r="C13" s="200" t="str">
        <f>SubLotSz</f>
        <v>888,888 sf</v>
      </c>
      <c r="D13" s="196"/>
      <c r="E13" s="197"/>
      <c r="F13" s="200"/>
      <c r="G13" s="196"/>
      <c r="H13" s="197"/>
      <c r="I13" s="7"/>
      <c r="J13" s="200"/>
      <c r="K13" s="196"/>
      <c r="L13" s="197"/>
      <c r="M13" s="5"/>
      <c r="N13" s="200"/>
      <c r="O13" s="196"/>
      <c r="P13" s="197"/>
      <c r="Q13" s="5"/>
      <c r="R13" s="200"/>
      <c r="S13" s="196"/>
      <c r="T13" s="197"/>
      <c r="U13" s="5"/>
    </row>
    <row r="14" spans="2:21" x14ac:dyDescent="0.35">
      <c r="B14" s="9" t="s">
        <v>32</v>
      </c>
      <c r="C14" s="200" t="str">
        <f>SubjView</f>
        <v>No ocean</v>
      </c>
      <c r="D14" s="201"/>
      <c r="E14" s="202"/>
      <c r="F14" s="200"/>
      <c r="G14" s="201"/>
      <c r="H14" s="202"/>
      <c r="I14" s="7"/>
      <c r="J14" s="200"/>
      <c r="K14" s="201"/>
      <c r="L14" s="202"/>
      <c r="M14" s="5"/>
      <c r="N14" s="200"/>
      <c r="O14" s="201"/>
      <c r="P14" s="202"/>
      <c r="Q14" s="5"/>
      <c r="R14" s="200"/>
      <c r="S14" s="201"/>
      <c r="T14" s="202"/>
      <c r="U14" s="5"/>
    </row>
    <row r="15" spans="2:21" x14ac:dyDescent="0.35">
      <c r="B15" s="9" t="s">
        <v>8</v>
      </c>
      <c r="C15" s="200">
        <f>SubjQual</f>
        <v>4.5</v>
      </c>
      <c r="D15" s="196"/>
      <c r="E15" s="197"/>
      <c r="F15" s="200"/>
      <c r="G15" s="196"/>
      <c r="H15" s="197"/>
      <c r="I15" s="7"/>
      <c r="J15" s="200"/>
      <c r="K15" s="196"/>
      <c r="L15" s="197"/>
      <c r="M15" s="5"/>
      <c r="N15" s="200"/>
      <c r="O15" s="196"/>
      <c r="P15" s="197"/>
      <c r="Q15" s="5"/>
      <c r="R15" s="200"/>
      <c r="S15" s="196"/>
      <c r="T15" s="197"/>
      <c r="U15" s="5"/>
    </row>
    <row r="16" spans="2:21" x14ac:dyDescent="0.35">
      <c r="B16" s="9" t="s">
        <v>9</v>
      </c>
      <c r="C16" s="200">
        <f>SubjAge</f>
        <v>32</v>
      </c>
      <c r="D16" s="196"/>
      <c r="E16" s="197"/>
      <c r="F16" s="200"/>
      <c r="G16" s="196"/>
      <c r="H16" s="197"/>
      <c r="I16" s="7"/>
      <c r="J16" s="200"/>
      <c r="K16" s="196"/>
      <c r="L16" s="197"/>
      <c r="M16" s="5"/>
      <c r="N16" s="200"/>
      <c r="O16" s="196"/>
      <c r="P16" s="197"/>
      <c r="Q16" s="5"/>
      <c r="R16" s="200"/>
      <c r="S16" s="196"/>
      <c r="T16" s="197"/>
      <c r="U16" s="5"/>
    </row>
    <row r="17" spans="2:21" x14ac:dyDescent="0.35">
      <c r="B17" s="9" t="s">
        <v>10</v>
      </c>
      <c r="C17" s="200" t="e">
        <f>SubjEffAge</f>
        <v>#REF!</v>
      </c>
      <c r="D17" s="196"/>
      <c r="E17" s="197"/>
      <c r="F17" s="200"/>
      <c r="G17" s="196"/>
      <c r="H17" s="197"/>
      <c r="I17" s="7"/>
      <c r="J17" s="200"/>
      <c r="K17" s="196"/>
      <c r="L17" s="197"/>
      <c r="M17" s="5"/>
      <c r="N17" s="200"/>
      <c r="O17" s="196"/>
      <c r="P17" s="197"/>
      <c r="Q17" s="5"/>
      <c r="R17" s="200"/>
      <c r="S17" s="196"/>
      <c r="T17" s="197"/>
      <c r="U17" s="5"/>
    </row>
    <row r="18" spans="2:21" x14ac:dyDescent="0.35">
      <c r="B18" s="9" t="s">
        <v>11</v>
      </c>
      <c r="C18" s="200">
        <f>SubjCond</f>
        <v>4</v>
      </c>
      <c r="D18" s="196"/>
      <c r="E18" s="197"/>
      <c r="F18" s="200"/>
      <c r="G18" s="196"/>
      <c r="H18" s="197"/>
      <c r="I18" s="7"/>
      <c r="J18" s="200"/>
      <c r="K18" s="196"/>
      <c r="L18" s="197"/>
      <c r="M18" s="5"/>
      <c r="N18" s="200"/>
      <c r="O18" s="196"/>
      <c r="P18" s="197"/>
      <c r="Q18" s="5"/>
      <c r="R18" s="200"/>
      <c r="S18" s="196"/>
      <c r="T18" s="197"/>
      <c r="U18" s="5"/>
    </row>
    <row r="19" spans="2:21" x14ac:dyDescent="0.35">
      <c r="B19" s="203" t="s">
        <v>12</v>
      </c>
      <c r="C19" s="1" t="s">
        <v>13</v>
      </c>
      <c r="D19" s="1" t="s">
        <v>14</v>
      </c>
      <c r="E19" s="1" t="s">
        <v>15</v>
      </c>
      <c r="F19" s="1" t="s">
        <v>13</v>
      </c>
      <c r="G19" s="1" t="s">
        <v>14</v>
      </c>
      <c r="H19" s="1" t="s">
        <v>15</v>
      </c>
      <c r="I19" s="206"/>
      <c r="J19" s="1" t="s">
        <v>13</v>
      </c>
      <c r="K19" s="1" t="s">
        <v>14</v>
      </c>
      <c r="L19" s="1" t="s">
        <v>15</v>
      </c>
      <c r="M19" s="209"/>
      <c r="N19" s="1" t="s">
        <v>13</v>
      </c>
      <c r="O19" s="1" t="s">
        <v>14</v>
      </c>
      <c r="P19" s="1" t="s">
        <v>15</v>
      </c>
      <c r="Q19" s="209"/>
      <c r="R19" s="1" t="s">
        <v>13</v>
      </c>
      <c r="S19" s="1" t="s">
        <v>14</v>
      </c>
      <c r="T19" s="1" t="s">
        <v>15</v>
      </c>
      <c r="U19" s="209"/>
    </row>
    <row r="20" spans="2:21" x14ac:dyDescent="0.35">
      <c r="B20" s="204"/>
      <c r="C20" s="2">
        <v>7</v>
      </c>
      <c r="D20" s="2" t="e">
        <f>SubjBed</f>
        <v>#REF!</v>
      </c>
      <c r="E20" s="2" t="e">
        <f>SubjBath</f>
        <v>#REF!</v>
      </c>
      <c r="F20" s="2">
        <v>6</v>
      </c>
      <c r="G20" s="2">
        <v>3</v>
      </c>
      <c r="H20" s="2">
        <v>2</v>
      </c>
      <c r="I20" s="207"/>
      <c r="J20" s="2">
        <v>7</v>
      </c>
      <c r="K20" s="2">
        <v>3</v>
      </c>
      <c r="L20" s="2">
        <v>2</v>
      </c>
      <c r="M20" s="210"/>
      <c r="N20" s="2">
        <v>7</v>
      </c>
      <c r="O20" s="2">
        <v>3</v>
      </c>
      <c r="P20" s="2">
        <v>3</v>
      </c>
      <c r="Q20" s="211"/>
      <c r="R20" s="2">
        <v>7</v>
      </c>
      <c r="S20" s="2">
        <v>3</v>
      </c>
      <c r="T20" s="3">
        <v>2.5</v>
      </c>
      <c r="U20" s="210"/>
    </row>
    <row r="21" spans="2:21" x14ac:dyDescent="0.35">
      <c r="B21" s="205"/>
      <c r="C21" s="171" t="e">
        <f>SubjGLA</f>
        <v>#REF!</v>
      </c>
      <c r="D21" s="172"/>
      <c r="E21" s="173"/>
      <c r="F21" s="171">
        <v>1700</v>
      </c>
      <c r="G21" s="172"/>
      <c r="H21" s="173"/>
      <c r="I21" s="208"/>
      <c r="J21" s="171">
        <v>1711</v>
      </c>
      <c r="K21" s="172"/>
      <c r="L21" s="173"/>
      <c r="M21" s="211"/>
      <c r="N21" s="171">
        <v>1809</v>
      </c>
      <c r="O21" s="172"/>
      <c r="P21" s="173"/>
      <c r="Q21" s="7"/>
      <c r="R21" s="171">
        <v>1786</v>
      </c>
      <c r="S21" s="172"/>
      <c r="T21" s="173"/>
      <c r="U21" s="211"/>
    </row>
    <row r="22" spans="2:21" ht="26" x14ac:dyDescent="0.35">
      <c r="B22" s="9" t="s">
        <v>16</v>
      </c>
      <c r="C22" s="132" t="str">
        <f>SubFunc</f>
        <v>Average</v>
      </c>
      <c r="D22" s="133"/>
      <c r="E22" s="134"/>
      <c r="F22" s="132"/>
      <c r="G22" s="133"/>
      <c r="H22" s="134"/>
      <c r="I22" s="7"/>
      <c r="J22" s="132"/>
      <c r="K22" s="133"/>
      <c r="L22" s="134"/>
      <c r="M22" s="5"/>
      <c r="N22" s="132"/>
      <c r="O22" s="133"/>
      <c r="P22" s="134"/>
      <c r="Q22" s="7"/>
      <c r="R22" s="132"/>
      <c r="S22" s="133"/>
      <c r="T22" s="134"/>
      <c r="U22" s="7"/>
    </row>
    <row r="23" spans="2:21" x14ac:dyDescent="0.35">
      <c r="B23" s="9" t="s">
        <v>44</v>
      </c>
      <c r="C23" s="212" t="str">
        <f>SubjHeatAC</f>
        <v>Central F/A</v>
      </c>
      <c r="D23" s="213"/>
      <c r="E23" s="214"/>
      <c r="F23" s="212" t="s">
        <v>17</v>
      </c>
      <c r="G23" s="213"/>
      <c r="H23" s="214"/>
      <c r="I23" s="7"/>
      <c r="J23" s="212" t="s">
        <v>17</v>
      </c>
      <c r="K23" s="213"/>
      <c r="L23" s="214"/>
      <c r="M23" s="5"/>
      <c r="N23" s="212" t="s">
        <v>17</v>
      </c>
      <c r="O23" s="213"/>
      <c r="P23" s="214"/>
      <c r="Q23" s="7"/>
      <c r="R23" s="212" t="s">
        <v>17</v>
      </c>
      <c r="S23" s="213"/>
      <c r="T23" s="214"/>
      <c r="U23" s="7"/>
    </row>
    <row r="24" spans="2:21" x14ac:dyDescent="0.35">
      <c r="B24" s="9" t="s">
        <v>18</v>
      </c>
      <c r="C24" s="212" t="str">
        <f>SubjGar</f>
        <v>2 car garage att</v>
      </c>
      <c r="D24" s="213"/>
      <c r="E24" s="214"/>
      <c r="F24" s="212" t="s">
        <v>19</v>
      </c>
      <c r="G24" s="213"/>
      <c r="H24" s="214"/>
      <c r="I24" s="7"/>
      <c r="J24" s="212" t="s">
        <v>20</v>
      </c>
      <c r="K24" s="213"/>
      <c r="L24" s="214"/>
      <c r="M24" s="5"/>
      <c r="N24" s="212" t="s">
        <v>19</v>
      </c>
      <c r="O24" s="213"/>
      <c r="P24" s="214"/>
      <c r="Q24" s="5"/>
      <c r="R24" s="212" t="s">
        <v>20</v>
      </c>
      <c r="S24" s="213"/>
      <c r="T24" s="214"/>
      <c r="U24" s="5"/>
    </row>
    <row r="25" spans="2:21" x14ac:dyDescent="0.35">
      <c r="B25" s="9" t="s">
        <v>21</v>
      </c>
      <c r="C25" s="212" t="str">
        <f>SubjPorch</f>
        <v>Screen Porch</v>
      </c>
      <c r="D25" s="213"/>
      <c r="E25" s="214"/>
      <c r="F25" s="212" t="s">
        <v>23</v>
      </c>
      <c r="G25" s="213"/>
      <c r="H25" s="214"/>
      <c r="I25" s="7"/>
      <c r="J25" s="212" t="s">
        <v>24</v>
      </c>
      <c r="K25" s="213"/>
      <c r="L25" s="214"/>
      <c r="M25" s="5"/>
      <c r="N25" s="212" t="s">
        <v>23</v>
      </c>
      <c r="O25" s="213"/>
      <c r="P25" s="214"/>
      <c r="Q25" s="5"/>
      <c r="R25" s="212" t="s">
        <v>25</v>
      </c>
      <c r="S25" s="213"/>
      <c r="T25" s="214"/>
      <c r="U25" s="5"/>
    </row>
    <row r="26" spans="2:21" x14ac:dyDescent="0.35">
      <c r="B26" s="9" t="s">
        <v>26</v>
      </c>
      <c r="C26" s="212" t="str">
        <f>SubjOther</f>
        <v>Solar</v>
      </c>
      <c r="D26" s="213"/>
      <c r="E26" s="214"/>
      <c r="F26" s="212" t="s">
        <v>28</v>
      </c>
      <c r="G26" s="213"/>
      <c r="H26" s="214"/>
      <c r="I26" s="7"/>
      <c r="J26" s="212" t="s">
        <v>27</v>
      </c>
      <c r="K26" s="213"/>
      <c r="L26" s="214"/>
      <c r="M26" s="5"/>
      <c r="N26" s="212" t="s">
        <v>27</v>
      </c>
      <c r="O26" s="213"/>
      <c r="P26" s="214"/>
      <c r="Q26" s="7"/>
      <c r="R26" s="212" t="s">
        <v>29</v>
      </c>
      <c r="S26" s="213"/>
      <c r="T26" s="214"/>
      <c r="U26" s="7"/>
    </row>
    <row r="27" spans="2:21" x14ac:dyDescent="0.35">
      <c r="B27" s="9" t="s">
        <v>30</v>
      </c>
      <c r="C27" s="148"/>
      <c r="D27" s="149"/>
      <c r="E27" s="150"/>
      <c r="F27" s="218"/>
      <c r="G27" s="219"/>
      <c r="H27" s="220"/>
      <c r="I27" s="13">
        <f>SUM(I9:I26)</f>
        <v>0</v>
      </c>
      <c r="J27" s="212"/>
      <c r="K27" s="213"/>
      <c r="L27" s="214"/>
      <c r="M27" s="13">
        <f>SUM(M9:M26)</f>
        <v>0</v>
      </c>
      <c r="N27" s="212"/>
      <c r="O27" s="213"/>
      <c r="P27" s="214"/>
      <c r="Q27" s="13">
        <f>SUM(Q9:Q26)</f>
        <v>0</v>
      </c>
      <c r="R27" s="212"/>
      <c r="S27" s="213"/>
      <c r="T27" s="214"/>
      <c r="U27" s="13">
        <f>SUM(U9:U26)</f>
        <v>0</v>
      </c>
    </row>
    <row r="28" spans="2:21" ht="26" x14ac:dyDescent="0.35">
      <c r="B28" s="9" t="s">
        <v>31</v>
      </c>
      <c r="C28" s="215"/>
      <c r="D28" s="216"/>
      <c r="E28" s="217"/>
      <c r="F28" s="215"/>
      <c r="G28" s="216"/>
      <c r="H28" s="217"/>
      <c r="I28" s="13" t="e">
        <f>I7+I27</f>
        <v>#VALUE!</v>
      </c>
      <c r="J28" s="215"/>
      <c r="K28" s="216"/>
      <c r="L28" s="217"/>
      <c r="M28" s="13" t="e">
        <f>M7+M27</f>
        <v>#VALUE!</v>
      </c>
      <c r="N28" s="215"/>
      <c r="O28" s="216"/>
      <c r="P28" s="217"/>
      <c r="Q28" s="13" t="e">
        <f>Q7+Q27</f>
        <v>#VALUE!</v>
      </c>
      <c r="R28" s="215"/>
      <c r="S28" s="216"/>
      <c r="T28" s="217"/>
      <c r="U28" s="13" t="e">
        <f>U7+U27</f>
        <v>#VALUE!</v>
      </c>
    </row>
  </sheetData>
  <mergeCells count="126">
    <mergeCell ref="C28:E28"/>
    <mergeCell ref="F28:H28"/>
    <mergeCell ref="J28:L28"/>
    <mergeCell ref="N28:P28"/>
    <mergeCell ref="R28:T28"/>
    <mergeCell ref="C26:E26"/>
    <mergeCell ref="F26:H26"/>
    <mergeCell ref="J26:L26"/>
    <mergeCell ref="N26:P26"/>
    <mergeCell ref="R26:T26"/>
    <mergeCell ref="C27:E27"/>
    <mergeCell ref="F27:H27"/>
    <mergeCell ref="J27:L27"/>
    <mergeCell ref="N27:P27"/>
    <mergeCell ref="R27:T27"/>
    <mergeCell ref="C24:E24"/>
    <mergeCell ref="F24:H24"/>
    <mergeCell ref="J24:L24"/>
    <mergeCell ref="N24:P24"/>
    <mergeCell ref="R24:T24"/>
    <mergeCell ref="C25:E25"/>
    <mergeCell ref="F25:H25"/>
    <mergeCell ref="J25:L25"/>
    <mergeCell ref="N25:P25"/>
    <mergeCell ref="R25:T25"/>
    <mergeCell ref="C22:E22"/>
    <mergeCell ref="F22:H22"/>
    <mergeCell ref="J22:L22"/>
    <mergeCell ref="N22:P22"/>
    <mergeCell ref="R22:T22"/>
    <mergeCell ref="C23:E23"/>
    <mergeCell ref="F23:H23"/>
    <mergeCell ref="J23:L23"/>
    <mergeCell ref="N23:P23"/>
    <mergeCell ref="R23:T23"/>
    <mergeCell ref="B19:B21"/>
    <mergeCell ref="I19:I21"/>
    <mergeCell ref="M19:M21"/>
    <mergeCell ref="Q19:Q20"/>
    <mergeCell ref="U19:U21"/>
    <mergeCell ref="C21:E21"/>
    <mergeCell ref="F21:H21"/>
    <mergeCell ref="J21:L21"/>
    <mergeCell ref="N21:P21"/>
    <mergeCell ref="R21:T21"/>
    <mergeCell ref="C17:E17"/>
    <mergeCell ref="F17:H17"/>
    <mergeCell ref="J17:L17"/>
    <mergeCell ref="N17:P17"/>
    <mergeCell ref="R17:T17"/>
    <mergeCell ref="C18:E18"/>
    <mergeCell ref="F18:H18"/>
    <mergeCell ref="J18:L18"/>
    <mergeCell ref="N18:P18"/>
    <mergeCell ref="R18:T18"/>
    <mergeCell ref="C15:E15"/>
    <mergeCell ref="F15:H15"/>
    <mergeCell ref="J15:L15"/>
    <mergeCell ref="N15:P15"/>
    <mergeCell ref="R15:T15"/>
    <mergeCell ref="C16:E16"/>
    <mergeCell ref="F16:H16"/>
    <mergeCell ref="J16:L16"/>
    <mergeCell ref="N16:P16"/>
    <mergeCell ref="R16:T16"/>
    <mergeCell ref="C13:E13"/>
    <mergeCell ref="F13:H13"/>
    <mergeCell ref="J13:L13"/>
    <mergeCell ref="N13:P13"/>
    <mergeCell ref="R13:T13"/>
    <mergeCell ref="C14:E14"/>
    <mergeCell ref="F14:H14"/>
    <mergeCell ref="J14:L14"/>
    <mergeCell ref="N14:P14"/>
    <mergeCell ref="R14:T14"/>
    <mergeCell ref="C11:E11"/>
    <mergeCell ref="F11:H11"/>
    <mergeCell ref="J11:L11"/>
    <mergeCell ref="N11:P11"/>
    <mergeCell ref="R11:T11"/>
    <mergeCell ref="C12:E12"/>
    <mergeCell ref="F12:H12"/>
    <mergeCell ref="J12:L12"/>
    <mergeCell ref="N12:P12"/>
    <mergeCell ref="R12:T12"/>
    <mergeCell ref="C9:E9"/>
    <mergeCell ref="F9:H9"/>
    <mergeCell ref="J9:L9"/>
    <mergeCell ref="N9:P9"/>
    <mergeCell ref="R9:T9"/>
    <mergeCell ref="C10:E10"/>
    <mergeCell ref="F10:H10"/>
    <mergeCell ref="J10:L10"/>
    <mergeCell ref="N10:P10"/>
    <mergeCell ref="R10:T10"/>
    <mergeCell ref="C7:E7"/>
    <mergeCell ref="F7:H7"/>
    <mergeCell ref="J7:L7"/>
    <mergeCell ref="N7:P7"/>
    <mergeCell ref="R7:T7"/>
    <mergeCell ref="C8:E8"/>
    <mergeCell ref="F8:H8"/>
    <mergeCell ref="J8:L8"/>
    <mergeCell ref="N8:P8"/>
    <mergeCell ref="R8:T8"/>
    <mergeCell ref="C5:E5"/>
    <mergeCell ref="F5:I5"/>
    <mergeCell ref="J5:M5"/>
    <mergeCell ref="N5:Q5"/>
    <mergeCell ref="R5:U5"/>
    <mergeCell ref="C6:E6"/>
    <mergeCell ref="F6:I6"/>
    <mergeCell ref="J6:M6"/>
    <mergeCell ref="N6:Q6"/>
    <mergeCell ref="R6:U6"/>
    <mergeCell ref="B2:U2"/>
    <mergeCell ref="F3:I3"/>
    <mergeCell ref="J3:M3"/>
    <mergeCell ref="N3:Q3"/>
    <mergeCell ref="R3:U3"/>
    <mergeCell ref="C4:E4"/>
    <mergeCell ref="F4:I4"/>
    <mergeCell ref="J4:M4"/>
    <mergeCell ref="N4:Q4"/>
    <mergeCell ref="R4:U4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Comps 1-4</vt:lpstr>
      <vt:lpstr>Comps 5-8</vt:lpstr>
      <vt:lpstr>Comps 9-12</vt:lpstr>
      <vt:lpstr>SubAddr</vt:lpstr>
      <vt:lpstr>SubFunc</vt:lpstr>
      <vt:lpstr>SubjAge</vt:lpstr>
      <vt:lpstr>SubjCond</vt:lpstr>
      <vt:lpstr>SubjGar</vt:lpstr>
      <vt:lpstr>SubjHeatAC</vt:lpstr>
      <vt:lpstr>SubjLoc</vt:lpstr>
      <vt:lpstr>SubjMLS</vt:lpstr>
      <vt:lpstr>SubjOther</vt:lpstr>
      <vt:lpstr>SubjPorch</vt:lpstr>
      <vt:lpstr>SubjQual</vt:lpstr>
      <vt:lpstr>SubjSaleDate</vt:lpstr>
      <vt:lpstr>SubjView</vt:lpstr>
      <vt:lpstr>SubLotSz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B. Craytor</dc:creator>
  <cp:lastModifiedBy>william</cp:lastModifiedBy>
  <cp:lastPrinted>2023-04-25T00:26:40Z</cp:lastPrinted>
  <dcterms:created xsi:type="dcterms:W3CDTF">2018-09-12T20:10:28Z</dcterms:created>
  <dcterms:modified xsi:type="dcterms:W3CDTF">2023-04-25T07:18:21Z</dcterms:modified>
</cp:coreProperties>
</file>